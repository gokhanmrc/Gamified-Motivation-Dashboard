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-Jan" sheetId="1" r:id="rId5"/>
    <sheet state="visible" name="1" sheetId="2" r:id="rId6"/>
    <sheet state="visible" name="2" sheetId="3" r:id="rId7"/>
    <sheet state="visible" name="3" sheetId="4" r:id="rId8"/>
    <sheet state="visible" name="4" sheetId="5" r:id="rId9"/>
    <sheet state="visible" name="5" sheetId="6" r:id="rId10"/>
    <sheet state="visible" name="6" sheetId="7" r:id="rId11"/>
    <sheet state="visible" name="7" sheetId="8" r:id="rId12"/>
    <sheet state="visible" name="8" sheetId="9" r:id="rId13"/>
    <sheet state="visible" name="9" sheetId="10" r:id="rId14"/>
    <sheet state="visible" name="10" sheetId="11" r:id="rId15"/>
    <sheet state="visible" name="11" sheetId="12" r:id="rId16"/>
    <sheet state="visible" name="12" sheetId="13" r:id="rId17"/>
    <sheet state="visible" name="13" sheetId="14" r:id="rId18"/>
    <sheet state="visible" name="14" sheetId="15" r:id="rId19"/>
    <sheet state="visible" name="15" sheetId="16" r:id="rId20"/>
    <sheet state="visible" name="16" sheetId="17" r:id="rId21"/>
    <sheet state="visible" name="17" sheetId="18" r:id="rId22"/>
    <sheet state="visible" name="18" sheetId="19" r:id="rId23"/>
    <sheet state="visible" name="19" sheetId="20" r:id="rId24"/>
    <sheet state="visible" name="20" sheetId="21" r:id="rId25"/>
    <sheet state="visible" name="21" sheetId="22" r:id="rId26"/>
    <sheet state="visible" name="22" sheetId="23" r:id="rId27"/>
    <sheet state="visible" name="23" sheetId="24" r:id="rId28"/>
    <sheet state="visible" name="24" sheetId="25" r:id="rId29"/>
    <sheet state="visible" name="25" sheetId="26" r:id="rId30"/>
    <sheet state="visible" name="26" sheetId="27" r:id="rId31"/>
    <sheet state="visible" name="27" sheetId="28" r:id="rId32"/>
    <sheet state="visible" name="28" sheetId="29" r:id="rId33"/>
    <sheet state="visible" name="29" sheetId="30" r:id="rId34"/>
    <sheet state="visible" name="30" sheetId="31" r:id="rId35"/>
    <sheet state="visible" name="31" sheetId="32" r:id="rId36"/>
  </sheets>
  <definedNames/>
  <calcPr/>
</workbook>
</file>

<file path=xl/sharedStrings.xml><?xml version="1.0" encoding="utf-8"?>
<sst xmlns="http://schemas.openxmlformats.org/spreadsheetml/2006/main" count="243" uniqueCount="30">
  <si>
    <t>DashBoard</t>
  </si>
  <si>
    <t>Income Sources</t>
  </si>
  <si>
    <t>Count Price</t>
  </si>
  <si>
    <t>TOTAL</t>
  </si>
  <si>
    <t>Discretionary Cap</t>
  </si>
  <si>
    <t>Task-1</t>
  </si>
  <si>
    <t>Discipline Debit</t>
  </si>
  <si>
    <t>Task-2</t>
  </si>
  <si>
    <t>Previous Month Balance</t>
  </si>
  <si>
    <t>Task-3</t>
  </si>
  <si>
    <t>Total Income</t>
  </si>
  <si>
    <t>Task-4</t>
  </si>
  <si>
    <t>Accrued Bonuses</t>
  </si>
  <si>
    <t>Task-5</t>
  </si>
  <si>
    <t>Gross Revenue</t>
  </si>
  <si>
    <t>Task-6</t>
  </si>
  <si>
    <t>Redeemed Rewards</t>
  </si>
  <si>
    <t>Task-7</t>
  </si>
  <si>
    <t>NET MOTIVATION BALANCE</t>
  </si>
  <si>
    <t>Combo Bonus</t>
  </si>
  <si>
    <t>Streak Multiplier</t>
  </si>
  <si>
    <t>Recurring Bonus</t>
  </si>
  <si>
    <t>Target Rewards</t>
  </si>
  <si>
    <t>Reward-1</t>
  </si>
  <si>
    <t>Reward-2</t>
  </si>
  <si>
    <t>Reward-3</t>
  </si>
  <si>
    <t>Task Name</t>
  </si>
  <si>
    <t>Total</t>
  </si>
  <si>
    <t>Streak</t>
  </si>
  <si>
    <t>Expense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</si>
</sst>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 &quot;d&quot; &quot;mmm&quot; &quot;"/>
    <numFmt numFmtId="165" formatCode="[$₺]#,##0"/>
    <numFmt numFmtId="166" formatCode="_([$£-809]* #,##0.00_);_([$£-809]* \(#,##0.00\);_([$£-809]* &quot;-&quot;??_);_(@_)"/>
    <numFmt numFmtId="167" formatCode="&quot;£&quot;#,##0.00"/>
    <numFmt numFmtId="168" formatCode="&quot; &quot;d&quot; &quot;mmmm&quot; &quot;"/>
    <numFmt numFmtId="169" formatCode="[$£-809]#,##0"/>
  </numFmts>
  <fonts count="5">
    <font>
      <sz val="10.0"/>
      <color rgb="FF000000"/>
      <name val="Arial"/>
      <scheme val="minor"/>
    </font>
    <font>
      <b/>
      <color rgb="FF980000"/>
      <name val="Arial"/>
      <scheme val="minor"/>
    </font>
    <font/>
    <font>
      <b/>
      <color rgb="FFB7B7B7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164" xfId="0" applyAlignment="1" applyBorder="1" applyFont="1" applyNumberFormat="1">
      <alignment horizontal="center" readingOrder="0" vertical="center"/>
    </xf>
    <xf borderId="4" fillId="3" fontId="1" numFmtId="0" xfId="0" applyAlignment="1" applyBorder="1" applyFill="1" applyFont="1">
      <alignment horizontal="left" readingOrder="0" vertical="center"/>
    </xf>
    <xf borderId="5" fillId="3" fontId="1" numFmtId="165" xfId="0" applyAlignment="1" applyBorder="1" applyFont="1" applyNumberFormat="1">
      <alignment horizontal="left" readingOrder="0" vertical="center"/>
    </xf>
    <xf borderId="6" fillId="3" fontId="1" numFmtId="0" xfId="0" applyAlignment="1" applyBorder="1" applyFont="1">
      <alignment horizontal="left" readingOrder="0" vertical="center"/>
    </xf>
    <xf borderId="6" fillId="3" fontId="1" numFmtId="165" xfId="0" applyAlignment="1" applyBorder="1" applyFont="1" applyNumberFormat="1">
      <alignment horizontal="left" readingOrder="0" vertical="center"/>
    </xf>
    <xf borderId="0" fillId="4" fontId="1" numFmtId="165" xfId="0" applyAlignment="1" applyFill="1" applyFont="1" applyNumberFormat="1">
      <alignment horizontal="left" readingOrder="0" vertical="center"/>
    </xf>
    <xf borderId="7" fillId="4" fontId="1" numFmtId="165" xfId="0" applyAlignment="1" applyBorder="1" applyFont="1" applyNumberFormat="1">
      <alignment horizontal="left" readingOrder="0" vertical="center"/>
    </xf>
    <xf borderId="8" fillId="3" fontId="1" numFmtId="0" xfId="0" applyAlignment="1" applyBorder="1" applyFont="1">
      <alignment horizontal="left" readingOrder="0" vertical="center"/>
    </xf>
    <xf borderId="7" fillId="3" fontId="1" numFmtId="165" xfId="0" applyAlignment="1" applyBorder="1" applyFont="1" applyNumberFormat="1">
      <alignment horizontal="left" readingOrder="0" vertical="center"/>
    </xf>
    <xf borderId="9" fillId="3" fontId="1" numFmtId="0" xfId="0" applyAlignment="1" applyBorder="1" applyFont="1">
      <alignment horizontal="left" readingOrder="0" vertical="center"/>
    </xf>
    <xf borderId="10" fillId="3" fontId="1" numFmtId="165" xfId="0" applyAlignment="1" applyBorder="1" applyFont="1" applyNumberFormat="1">
      <alignment horizontal="left" readingOrder="0" vertical="center"/>
    </xf>
    <xf borderId="11" fillId="3" fontId="1" numFmtId="165" xfId="0" applyAlignment="1" applyBorder="1" applyFont="1" applyNumberFormat="1">
      <alignment horizontal="left" readingOrder="0" vertical="center"/>
    </xf>
    <xf borderId="9" fillId="2" fontId="1" numFmtId="166" xfId="0" applyAlignment="1" applyBorder="1" applyFont="1" applyNumberFormat="1">
      <alignment horizontal="left" readingOrder="0" vertical="center"/>
    </xf>
    <xf borderId="0" fillId="2" fontId="1" numFmtId="165" xfId="0" applyAlignment="1" applyFont="1" applyNumberFormat="1">
      <alignment horizontal="center" readingOrder="0" vertical="center"/>
    </xf>
    <xf borderId="5" fillId="3" fontId="1" numFmtId="0" xfId="0" applyAlignment="1" applyBorder="1" applyFont="1">
      <alignment horizontal="left" readingOrder="0" vertical="center"/>
    </xf>
    <xf borderId="12" fillId="3" fontId="1" numFmtId="165" xfId="0" applyAlignment="1" applyBorder="1" applyFont="1" applyNumberFormat="1">
      <alignment horizontal="left" readingOrder="0" vertical="center"/>
    </xf>
    <xf borderId="13" fillId="4" fontId="1" numFmtId="165" xfId="0" applyAlignment="1" applyBorder="1" applyFont="1" applyNumberFormat="1">
      <alignment horizontal="left" readingOrder="0" vertical="center"/>
    </xf>
    <xf borderId="5" fillId="4" fontId="1" numFmtId="165" xfId="0" applyAlignment="1" applyBorder="1" applyFont="1" applyNumberFormat="1">
      <alignment horizontal="left" readingOrder="0" vertical="center"/>
    </xf>
    <xf borderId="9" fillId="2" fontId="1" numFmtId="0" xfId="0" applyAlignment="1" applyBorder="1" applyFont="1">
      <alignment horizontal="left" readingOrder="0" vertical="center"/>
    </xf>
    <xf borderId="2" fillId="2" fontId="1" numFmtId="0" xfId="0" applyAlignment="1" applyBorder="1" applyFont="1">
      <alignment horizontal="left" readingOrder="0" vertical="center"/>
    </xf>
    <xf borderId="6" fillId="3" fontId="1" numFmtId="10" xfId="0" applyAlignment="1" applyBorder="1" applyFont="1" applyNumberFormat="1">
      <alignment horizontal="left" readingOrder="0" vertical="center"/>
    </xf>
    <xf borderId="0" fillId="3" fontId="1" numFmtId="0" xfId="0" applyAlignment="1" applyFont="1">
      <alignment horizontal="left" readingOrder="0" vertical="center"/>
    </xf>
    <xf borderId="10" fillId="3" fontId="1" numFmtId="0" xfId="0" applyAlignment="1" applyBorder="1" applyFont="1">
      <alignment horizontal="left" readingOrder="0" vertical="center"/>
    </xf>
    <xf borderId="14" fillId="2" fontId="1" numFmtId="0" xfId="0" applyAlignment="1" applyBorder="1" applyFont="1">
      <alignment horizontal="left" readingOrder="0" vertical="center"/>
    </xf>
    <xf borderId="2" fillId="0" fontId="2" numFmtId="0" xfId="0" applyBorder="1" applyFont="1"/>
    <xf borderId="3" fillId="2" fontId="1" numFmtId="165" xfId="0" applyAlignment="1" applyBorder="1" applyFont="1" applyNumberFormat="1">
      <alignment horizontal="left" readingOrder="0" vertical="center"/>
    </xf>
    <xf borderId="1" fillId="2" fontId="1" numFmtId="165" xfId="0" applyAlignment="1" applyBorder="1" applyFont="1" applyNumberFormat="1">
      <alignment horizontal="left" readingOrder="0" vertical="center"/>
    </xf>
    <xf borderId="4" fillId="2" fontId="1" numFmtId="0" xfId="0" applyAlignment="1" applyBorder="1" applyFont="1">
      <alignment horizontal="left" readingOrder="0" vertical="center"/>
    </xf>
    <xf borderId="12" fillId="0" fontId="2" numFmtId="0" xfId="0" applyBorder="1" applyFont="1"/>
    <xf borderId="10" fillId="2" fontId="1" numFmtId="0" xfId="0" applyAlignment="1" applyBorder="1" applyFont="1">
      <alignment horizontal="center" readingOrder="0" vertical="center"/>
    </xf>
    <xf borderId="12" fillId="3" fontId="3" numFmtId="166" xfId="0" applyAlignment="1" applyBorder="1" applyFont="1" applyNumberFormat="1">
      <alignment horizontal="left" readingOrder="0" vertical="center"/>
    </xf>
    <xf borderId="6" fillId="3" fontId="3" numFmtId="166" xfId="0" applyAlignment="1" applyBorder="1" applyFont="1" applyNumberFormat="1">
      <alignment horizontal="left" readingOrder="0" vertical="center"/>
    </xf>
    <xf borderId="11" fillId="3" fontId="3" numFmtId="166" xfId="0" applyAlignment="1" applyBorder="1" applyFont="1" applyNumberFormat="1">
      <alignment horizontal="left" readingOrder="0" vertical="center"/>
    </xf>
    <xf borderId="0" fillId="2" fontId="1" numFmtId="166" xfId="0" applyAlignment="1" applyFont="1" applyNumberFormat="1">
      <alignment horizontal="left" readingOrder="0" vertical="center"/>
    </xf>
    <xf borderId="8" fillId="2" fontId="1" numFmtId="166" xfId="0" applyAlignment="1" applyBorder="1" applyFont="1" applyNumberFormat="1">
      <alignment horizontal="left" readingOrder="0" vertical="center"/>
    </xf>
    <xf borderId="6" fillId="0" fontId="2" numFmtId="0" xfId="0" applyBorder="1" applyFont="1"/>
    <xf borderId="0" fillId="0" fontId="4" numFmtId="167" xfId="0" applyAlignment="1" applyFont="1" applyNumberFormat="1">
      <alignment readingOrder="0"/>
    </xf>
    <xf borderId="15" fillId="2" fontId="1" numFmtId="0" xfId="0" applyAlignment="1" applyBorder="1" applyFont="1">
      <alignment horizontal="left" readingOrder="0" vertical="top"/>
    </xf>
    <xf borderId="3" fillId="2" fontId="1" numFmtId="0" xfId="0" applyAlignment="1" applyBorder="1" applyFont="1">
      <alignment horizontal="left" readingOrder="0" vertical="top"/>
    </xf>
    <xf borderId="1" fillId="2" fontId="1" numFmtId="168" xfId="0" applyAlignment="1" applyBorder="1" applyFont="1" applyNumberFormat="1">
      <alignment horizontal="center" vertical="center"/>
    </xf>
    <xf borderId="0" fillId="4" fontId="1" numFmtId="169" xfId="0" applyAlignment="1" applyFont="1" applyNumberFormat="1">
      <alignment horizontal="left" readingOrder="0" vertical="center"/>
    </xf>
    <xf borderId="7" fillId="2" fontId="1" numFmtId="169" xfId="0" applyAlignment="1" applyBorder="1" applyFont="1" applyNumberFormat="1">
      <alignment horizontal="left" readingOrder="0" vertical="center"/>
    </xf>
    <xf borderId="10" fillId="2" fontId="1" numFmtId="169" xfId="0" applyAlignment="1" applyBorder="1" applyFont="1" applyNumberFormat="1">
      <alignment horizontal="left" readingOrder="0" vertical="center"/>
    </xf>
    <xf borderId="1" fillId="2" fontId="1" numFmtId="0" xfId="0" applyAlignment="1" applyBorder="1" applyFont="1">
      <alignment horizontal="left" readingOrder="0" vertical="center"/>
    </xf>
    <xf borderId="3" fillId="2" fontId="1" numFmtId="169" xfId="0" applyAlignment="1" applyBorder="1" applyFont="1" applyNumberFormat="1">
      <alignment horizontal="right" readingOrder="0" vertical="bottom"/>
    </xf>
    <xf borderId="1" fillId="2" fontId="1" numFmtId="169" xfId="0" applyAlignment="1" applyBorder="1" applyFont="1" applyNumberFormat="1">
      <alignment horizontal="right" readingOrder="0" vertical="bottom"/>
    </xf>
    <xf borderId="5" fillId="2" fontId="1" numFmtId="169" xfId="0" applyAlignment="1" applyBorder="1" applyFont="1" applyNumberFormat="1">
      <alignment horizontal="left" readingOrder="0" vertical="center"/>
    </xf>
    <xf borderId="3" fillId="2" fontId="1" numFmtId="169" xfId="0" applyAlignment="1" applyBorder="1" applyFont="1" applyNumberFormat="1">
      <alignment horizontal="left" readingOrder="0" vertical="center"/>
    </xf>
    <xf borderId="1" fillId="2" fontId="1" numFmtId="169" xfId="0" applyAlignment="1" applyBorder="1" applyFont="1" applyNumberFormat="1">
      <alignment horizontal="left" readingOrder="0" vertical="center"/>
    </xf>
    <xf borderId="6" fillId="2" fontId="1" numFmtId="169" xfId="0" applyAlignment="1" applyBorder="1" applyFont="1" applyNumberFormat="1">
      <alignment horizontal="left" readingOrder="0" vertical="center"/>
    </xf>
    <xf borderId="3" fillId="2" fontId="1" numFmtId="3" xfId="0" applyAlignment="1" applyBorder="1" applyFont="1" applyNumberFormat="1">
      <alignment horizontal="right" readingOrder="0" vertical="bottom"/>
    </xf>
    <xf borderId="3" fillId="2" fontId="1" numFmtId="3" xfId="0" applyAlignment="1" applyBorder="1" applyFont="1" applyNumberFormat="1">
      <alignment horizontal="left" readingOrder="0" vertical="center"/>
    </xf>
    <xf borderId="5" fillId="2" fontId="1" numFmtId="0" xfId="0" applyAlignment="1" applyBorder="1" applyFont="1">
      <alignment horizontal="center" readingOrder="0" vertical="center"/>
    </xf>
    <xf borderId="8" fillId="2" fontId="1" numFmtId="169" xfId="0" applyAlignment="1" applyBorder="1" applyFont="1" applyNumberFormat="1">
      <alignment horizontal="left" readingOrder="0" vertical="center"/>
    </xf>
    <xf borderId="7" fillId="2" fontId="1" numFmtId="3" xfId="0" applyAlignment="1" applyBorder="1" applyFont="1" applyNumberFormat="1">
      <alignment horizontal="center" readingOrder="0" vertical="center"/>
    </xf>
    <xf borderId="10" fillId="2" fontId="1" numFmtId="3" xfId="0" applyAlignment="1" applyBorder="1" applyFont="1" applyNumberFormat="1">
      <alignment horizontal="center" readingOrder="0" vertical="center"/>
    </xf>
    <xf borderId="10" fillId="2" fontId="1" numFmtId="169" xfId="0" applyAlignment="1" applyBorder="1" applyFont="1" applyNumberFormat="1">
      <alignment horizontal="right" readingOrder="0" vertical="bottom"/>
    </xf>
    <xf borderId="10" fillId="2" fontId="1" numFmtId="3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>
        <color rgb="FF38761D"/>
      </font>
      <fill>
        <patternFill patternType="solid">
          <fgColor rgb="FFCCCCCC"/>
          <bgColor rgb="FFCCCCCC"/>
        </patternFill>
      </fill>
      <border/>
    </dxf>
    <dxf>
      <font>
        <color rgb="FF980000"/>
      </font>
      <fill>
        <patternFill patternType="solid">
          <fgColor rgb="FFF4CCCC"/>
          <bgColor rgb="FFF4CCCC"/>
        </patternFill>
      </fill>
      <border/>
    </dxf>
    <dxf>
      <font>
        <color rgb="FFE6B8AF"/>
      </font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5"/>
    <col customWidth="1" min="2" max="2" width="10.5"/>
    <col customWidth="1" min="3" max="3" width="24.5"/>
    <col customWidth="1" min="4" max="4" width="10.38"/>
    <col customWidth="1" min="5" max="13" width="6.13"/>
    <col customWidth="1" min="14" max="14" width="7.13"/>
    <col customWidth="1" min="15" max="15" width="7.0"/>
    <col customWidth="1" min="16" max="35" width="7.13"/>
    <col customWidth="1" min="36" max="37" width="6.38"/>
  </cols>
  <sheetData>
    <row r="1" ht="26.25" customHeight="1">
      <c r="A1" s="1" t="s">
        <v>0</v>
      </c>
      <c r="C1" s="2" t="s">
        <v>1</v>
      </c>
      <c r="D1" s="3" t="s">
        <v>2</v>
      </c>
      <c r="E1" s="4">
        <v>46023.0</v>
      </c>
      <c r="F1" s="4">
        <f t="shared" ref="F1:AI1" si="1">E1+1</f>
        <v>46024</v>
      </c>
      <c r="G1" s="4">
        <f t="shared" si="1"/>
        <v>46025</v>
      </c>
      <c r="H1" s="4">
        <f t="shared" si="1"/>
        <v>46026</v>
      </c>
      <c r="I1" s="4">
        <f t="shared" si="1"/>
        <v>46027</v>
      </c>
      <c r="J1" s="4">
        <f t="shared" si="1"/>
        <v>46028</v>
      </c>
      <c r="K1" s="4">
        <f t="shared" si="1"/>
        <v>46029</v>
      </c>
      <c r="L1" s="4">
        <f t="shared" si="1"/>
        <v>46030</v>
      </c>
      <c r="M1" s="4">
        <f t="shared" si="1"/>
        <v>46031</v>
      </c>
      <c r="N1" s="4">
        <f t="shared" si="1"/>
        <v>46032</v>
      </c>
      <c r="O1" s="4">
        <f t="shared" si="1"/>
        <v>46033</v>
      </c>
      <c r="P1" s="4">
        <f t="shared" si="1"/>
        <v>46034</v>
      </c>
      <c r="Q1" s="4">
        <f t="shared" si="1"/>
        <v>46035</v>
      </c>
      <c r="R1" s="4">
        <f t="shared" si="1"/>
        <v>46036</v>
      </c>
      <c r="S1" s="4">
        <f t="shared" si="1"/>
        <v>46037</v>
      </c>
      <c r="T1" s="4">
        <f t="shared" si="1"/>
        <v>46038</v>
      </c>
      <c r="U1" s="4">
        <f t="shared" si="1"/>
        <v>46039</v>
      </c>
      <c r="V1" s="4">
        <f t="shared" si="1"/>
        <v>46040</v>
      </c>
      <c r="W1" s="4">
        <f t="shared" si="1"/>
        <v>46041</v>
      </c>
      <c r="X1" s="4">
        <f t="shared" si="1"/>
        <v>46042</v>
      </c>
      <c r="Y1" s="4">
        <f t="shared" si="1"/>
        <v>46043</v>
      </c>
      <c r="Z1" s="4">
        <f t="shared" si="1"/>
        <v>46044</v>
      </c>
      <c r="AA1" s="4">
        <f t="shared" si="1"/>
        <v>46045</v>
      </c>
      <c r="AB1" s="4">
        <f t="shared" si="1"/>
        <v>46046</v>
      </c>
      <c r="AC1" s="4">
        <f t="shared" si="1"/>
        <v>46047</v>
      </c>
      <c r="AD1" s="4">
        <f t="shared" si="1"/>
        <v>46048</v>
      </c>
      <c r="AE1" s="4">
        <f t="shared" si="1"/>
        <v>46049</v>
      </c>
      <c r="AF1" s="4">
        <f t="shared" si="1"/>
        <v>46050</v>
      </c>
      <c r="AG1" s="4">
        <f t="shared" si="1"/>
        <v>46051</v>
      </c>
      <c r="AH1" s="4">
        <f t="shared" si="1"/>
        <v>46052</v>
      </c>
      <c r="AI1" s="4">
        <f t="shared" si="1"/>
        <v>46053</v>
      </c>
      <c r="AJ1" s="2" t="s">
        <v>3</v>
      </c>
    </row>
    <row r="2" ht="26.25" customHeight="1">
      <c r="A2" s="5" t="s">
        <v>4</v>
      </c>
      <c r="B2" s="6">
        <v>15000.0</v>
      </c>
      <c r="C2" s="7" t="s">
        <v>5</v>
      </c>
      <c r="D2" s="8">
        <v>50.0</v>
      </c>
      <c r="E2" s="9">
        <f>'1'!$V2</f>
        <v>0</v>
      </c>
      <c r="F2" s="9">
        <f>'2'!$V2</f>
        <v>0</v>
      </c>
      <c r="G2" s="9">
        <f>'3'!$V2</f>
        <v>0</v>
      </c>
      <c r="H2" s="9">
        <f>'4'!$V2</f>
        <v>0</v>
      </c>
      <c r="I2" s="9">
        <f>'5'!$V2</f>
        <v>0</v>
      </c>
      <c r="J2" s="9">
        <f>'6'!$V2</f>
        <v>0</v>
      </c>
      <c r="K2" s="9">
        <f>'7'!$V2</f>
        <v>0</v>
      </c>
      <c r="L2" s="9">
        <f>'8'!$V2</f>
        <v>0</v>
      </c>
      <c r="M2" s="9">
        <f>'9'!$V2</f>
        <v>0</v>
      </c>
      <c r="N2" s="9">
        <f>'10'!$V2</f>
        <v>0</v>
      </c>
      <c r="O2" s="9">
        <f>'11'!$V2</f>
        <v>0</v>
      </c>
      <c r="P2" s="9">
        <f>'12'!$V2</f>
        <v>0</v>
      </c>
      <c r="Q2" s="9">
        <f>'13'!$V2</f>
        <v>0</v>
      </c>
      <c r="R2" s="9">
        <f>'14'!$V2</f>
        <v>0</v>
      </c>
      <c r="S2" s="9">
        <f>'15'!$V2</f>
        <v>0</v>
      </c>
      <c r="T2" s="9">
        <f>'16'!$V2</f>
        <v>0</v>
      </c>
      <c r="U2" s="9">
        <f>'17'!$V2</f>
        <v>0</v>
      </c>
      <c r="V2" s="9">
        <f>'18'!$V2</f>
        <v>0</v>
      </c>
      <c r="W2" s="9">
        <f>'19'!$V2</f>
        <v>0</v>
      </c>
      <c r="X2" s="9">
        <f>'20'!$V2</f>
        <v>0</v>
      </c>
      <c r="Y2" s="9">
        <f>'21'!$V2</f>
        <v>0</v>
      </c>
      <c r="Z2" s="9">
        <f>'22'!$V2</f>
        <v>0</v>
      </c>
      <c r="AA2" s="9">
        <f>'23'!$V2</f>
        <v>0</v>
      </c>
      <c r="AB2" s="9">
        <f>'24'!$V2</f>
        <v>0</v>
      </c>
      <c r="AC2" s="9">
        <f>'25'!$V2</f>
        <v>0</v>
      </c>
      <c r="AD2" s="9">
        <f>'26'!$V2</f>
        <v>0</v>
      </c>
      <c r="AE2" s="9">
        <f>'27'!$V2</f>
        <v>0</v>
      </c>
      <c r="AF2" s="9">
        <f>'28'!$V2</f>
        <v>0</v>
      </c>
      <c r="AG2" s="9">
        <f>'29'!$V2</f>
        <v>0</v>
      </c>
      <c r="AH2" s="9">
        <f>'30'!$V2</f>
        <v>0</v>
      </c>
      <c r="AI2" s="9">
        <f>'31'!$V2</f>
        <v>0</v>
      </c>
      <c r="AJ2" s="10">
        <f t="shared" ref="AJ2:AJ12" si="2">SUM(E2:AI2)</f>
        <v>0</v>
      </c>
    </row>
    <row r="3" ht="26.25" customHeight="1">
      <c r="A3" s="11" t="s">
        <v>6</v>
      </c>
      <c r="B3" s="12">
        <v>750.0</v>
      </c>
      <c r="C3" s="7" t="s">
        <v>7</v>
      </c>
      <c r="D3" s="8">
        <v>25.0</v>
      </c>
      <c r="E3" s="9">
        <f>'1'!$V3</f>
        <v>0</v>
      </c>
      <c r="F3" s="9">
        <f>'2'!$V3</f>
        <v>0</v>
      </c>
      <c r="G3" s="9">
        <f>'3'!$V3</f>
        <v>0</v>
      </c>
      <c r="H3" s="9">
        <f>'4'!$V3</f>
        <v>0</v>
      </c>
      <c r="I3" s="9">
        <f>'5'!$V3</f>
        <v>0</v>
      </c>
      <c r="J3" s="9">
        <f>'6'!$V3</f>
        <v>0</v>
      </c>
      <c r="K3" s="9">
        <f>'7'!$V3</f>
        <v>0</v>
      </c>
      <c r="L3" s="9">
        <f>'8'!$V3</f>
        <v>0</v>
      </c>
      <c r="M3" s="9">
        <f>'9'!$V3</f>
        <v>0</v>
      </c>
      <c r="N3" s="9">
        <f>'10'!$V3</f>
        <v>0</v>
      </c>
      <c r="O3" s="9">
        <f>'11'!$V3</f>
        <v>0</v>
      </c>
      <c r="P3" s="9">
        <f>'12'!$V3</f>
        <v>0</v>
      </c>
      <c r="Q3" s="9">
        <f>'13'!$V3</f>
        <v>0</v>
      </c>
      <c r="R3" s="9">
        <f>'14'!$V3</f>
        <v>0</v>
      </c>
      <c r="S3" s="9">
        <f>'15'!$V3</f>
        <v>0</v>
      </c>
      <c r="T3" s="9">
        <f>'16'!$V3</f>
        <v>0</v>
      </c>
      <c r="U3" s="9">
        <f>'17'!$V3</f>
        <v>0</v>
      </c>
      <c r="V3" s="9">
        <f>'18'!$V3</f>
        <v>0</v>
      </c>
      <c r="W3" s="9">
        <f>'19'!$V3</f>
        <v>0</v>
      </c>
      <c r="X3" s="9">
        <f>'20'!$V3</f>
        <v>0</v>
      </c>
      <c r="Y3" s="9">
        <f>'21'!$V3</f>
        <v>0</v>
      </c>
      <c r="Z3" s="9">
        <f>'22'!$V3</f>
        <v>0</v>
      </c>
      <c r="AA3" s="9">
        <f>'23'!$V3</f>
        <v>0</v>
      </c>
      <c r="AB3" s="9">
        <f>'24'!$V3</f>
        <v>0</v>
      </c>
      <c r="AC3" s="9">
        <f>'25'!$V3</f>
        <v>0</v>
      </c>
      <c r="AD3" s="9">
        <f>'26'!$V3</f>
        <v>0</v>
      </c>
      <c r="AE3" s="9">
        <f>'27'!$V3</f>
        <v>0</v>
      </c>
      <c r="AF3" s="9">
        <f>'28'!$V3</f>
        <v>0</v>
      </c>
      <c r="AG3" s="9">
        <f>'29'!$V3</f>
        <v>0</v>
      </c>
      <c r="AH3" s="9">
        <f>'30'!$V3</f>
        <v>0</v>
      </c>
      <c r="AI3" s="9">
        <f>'31'!$V3</f>
        <v>0</v>
      </c>
      <c r="AJ3" s="10">
        <f t="shared" si="2"/>
        <v>0</v>
      </c>
    </row>
    <row r="4" ht="26.25" customHeight="1">
      <c r="A4" s="11" t="s">
        <v>8</v>
      </c>
      <c r="B4" s="12">
        <v>0.0</v>
      </c>
      <c r="C4" s="7" t="s">
        <v>9</v>
      </c>
      <c r="D4" s="8">
        <v>125.0</v>
      </c>
      <c r="E4" s="9">
        <f>'1'!$V4</f>
        <v>0</v>
      </c>
      <c r="F4" s="9">
        <f>'2'!$V4</f>
        <v>0</v>
      </c>
      <c r="G4" s="9">
        <f>'3'!$V4</f>
        <v>0</v>
      </c>
      <c r="H4" s="9">
        <f>'4'!$V4</f>
        <v>0</v>
      </c>
      <c r="I4" s="9">
        <f>'5'!$V4</f>
        <v>0</v>
      </c>
      <c r="J4" s="9">
        <f>'6'!$V4</f>
        <v>0</v>
      </c>
      <c r="K4" s="9">
        <f>'7'!$V4</f>
        <v>0</v>
      </c>
      <c r="L4" s="9">
        <f>'8'!$V4</f>
        <v>0</v>
      </c>
      <c r="M4" s="9">
        <f>'9'!$V4</f>
        <v>0</v>
      </c>
      <c r="N4" s="9">
        <f>'10'!$V4</f>
        <v>0</v>
      </c>
      <c r="O4" s="9">
        <f>'11'!$V4</f>
        <v>0</v>
      </c>
      <c r="P4" s="9">
        <f>'12'!$V4</f>
        <v>0</v>
      </c>
      <c r="Q4" s="9">
        <f>'13'!$V4</f>
        <v>0</v>
      </c>
      <c r="R4" s="9">
        <f>'14'!$V4</f>
        <v>0</v>
      </c>
      <c r="S4" s="9">
        <f>'15'!$V4</f>
        <v>0</v>
      </c>
      <c r="T4" s="9">
        <f>'16'!$V4</f>
        <v>0</v>
      </c>
      <c r="U4" s="9">
        <f>'17'!$V4</f>
        <v>0</v>
      </c>
      <c r="V4" s="9">
        <f>'18'!$V4</f>
        <v>0</v>
      </c>
      <c r="W4" s="9">
        <f>'19'!$V4</f>
        <v>0</v>
      </c>
      <c r="X4" s="9">
        <f>'20'!$V4</f>
        <v>0</v>
      </c>
      <c r="Y4" s="9">
        <f>'21'!$V4</f>
        <v>0</v>
      </c>
      <c r="Z4" s="9">
        <f>'22'!$V4</f>
        <v>0</v>
      </c>
      <c r="AA4" s="9">
        <f>'23'!$V4</f>
        <v>0</v>
      </c>
      <c r="AB4" s="9">
        <f>'24'!$V4</f>
        <v>0</v>
      </c>
      <c r="AC4" s="9">
        <f>'25'!$V4</f>
        <v>0</v>
      </c>
      <c r="AD4" s="9">
        <f>'26'!$V4</f>
        <v>0</v>
      </c>
      <c r="AE4" s="9">
        <f>'27'!$V4</f>
        <v>0</v>
      </c>
      <c r="AF4" s="9">
        <f>'28'!$V4</f>
        <v>0</v>
      </c>
      <c r="AG4" s="9">
        <f>'29'!$V4</f>
        <v>0</v>
      </c>
      <c r="AH4" s="9">
        <f>'30'!$V4</f>
        <v>0</v>
      </c>
      <c r="AI4" s="9">
        <f>'31'!$V4</f>
        <v>0</v>
      </c>
      <c r="AJ4" s="10">
        <f t="shared" si="2"/>
        <v>0</v>
      </c>
    </row>
    <row r="5" ht="26.25" customHeight="1">
      <c r="A5" s="11" t="s">
        <v>10</v>
      </c>
      <c r="B5" s="12">
        <f>SUM(AJ2:AJ8)</f>
        <v>0</v>
      </c>
      <c r="C5" s="7" t="s">
        <v>11</v>
      </c>
      <c r="D5" s="8">
        <v>35.0</v>
      </c>
      <c r="E5" s="9">
        <f>'1'!$V5</f>
        <v>0</v>
      </c>
      <c r="F5" s="9">
        <f>'2'!$V5</f>
        <v>0</v>
      </c>
      <c r="G5" s="9">
        <f>'3'!$V5</f>
        <v>0</v>
      </c>
      <c r="H5" s="9">
        <f>'4'!$V5</f>
        <v>0</v>
      </c>
      <c r="I5" s="9">
        <f>'5'!$V5</f>
        <v>0</v>
      </c>
      <c r="J5" s="9">
        <f>'6'!$V5</f>
        <v>0</v>
      </c>
      <c r="K5" s="9">
        <f>'7'!$V5</f>
        <v>0</v>
      </c>
      <c r="L5" s="9">
        <f>'8'!$V5</f>
        <v>0</v>
      </c>
      <c r="M5" s="9">
        <f>'9'!$V5</f>
        <v>0</v>
      </c>
      <c r="N5" s="9">
        <f>'10'!$V5</f>
        <v>0</v>
      </c>
      <c r="O5" s="9">
        <f>'11'!$V5</f>
        <v>0</v>
      </c>
      <c r="P5" s="9">
        <f>'12'!$V5</f>
        <v>0</v>
      </c>
      <c r="Q5" s="9">
        <f>'13'!$V5</f>
        <v>0</v>
      </c>
      <c r="R5" s="9">
        <f>'14'!$V5</f>
        <v>0</v>
      </c>
      <c r="S5" s="9">
        <f>'15'!$V5</f>
        <v>0</v>
      </c>
      <c r="T5" s="9">
        <f>'16'!$V5</f>
        <v>0</v>
      </c>
      <c r="U5" s="9">
        <f>'17'!$V5</f>
        <v>0</v>
      </c>
      <c r="V5" s="9">
        <f>'18'!$V5</f>
        <v>0</v>
      </c>
      <c r="W5" s="9">
        <f>'19'!$V5</f>
        <v>0</v>
      </c>
      <c r="X5" s="9">
        <f>'20'!$V5</f>
        <v>0</v>
      </c>
      <c r="Y5" s="9">
        <f>'21'!$V5</f>
        <v>0</v>
      </c>
      <c r="Z5" s="9">
        <f>'22'!$V5</f>
        <v>0</v>
      </c>
      <c r="AA5" s="9">
        <f>'23'!$V5</f>
        <v>0</v>
      </c>
      <c r="AB5" s="9">
        <f>'24'!$V5</f>
        <v>0</v>
      </c>
      <c r="AC5" s="9">
        <f>'25'!$V5</f>
        <v>0</v>
      </c>
      <c r="AD5" s="9">
        <f>'26'!$V5</f>
        <v>0</v>
      </c>
      <c r="AE5" s="9">
        <f>'27'!$V5</f>
        <v>0</v>
      </c>
      <c r="AF5" s="9">
        <f>'28'!$V5</f>
        <v>0</v>
      </c>
      <c r="AG5" s="9">
        <f>'29'!$V5</f>
        <v>0</v>
      </c>
      <c r="AH5" s="9">
        <f>'30'!$V5</f>
        <v>0</v>
      </c>
      <c r="AI5" s="9">
        <f>'31'!$V5</f>
        <v>0</v>
      </c>
      <c r="AJ5" s="10">
        <f t="shared" si="2"/>
        <v>0</v>
      </c>
    </row>
    <row r="6" ht="26.25" customHeight="1">
      <c r="A6" s="11" t="s">
        <v>12</v>
      </c>
      <c r="B6" s="12">
        <f>SUM(AJ9:AJ11)</f>
        <v>0</v>
      </c>
      <c r="C6" s="7" t="s">
        <v>13</v>
      </c>
      <c r="D6" s="8">
        <v>100.0</v>
      </c>
      <c r="E6" s="9">
        <f>'1'!$V6</f>
        <v>0</v>
      </c>
      <c r="F6" s="9">
        <f>'2'!$V6</f>
        <v>0</v>
      </c>
      <c r="G6" s="9">
        <f>'3'!$V6</f>
        <v>0</v>
      </c>
      <c r="H6" s="9">
        <f>'4'!$V6</f>
        <v>0</v>
      </c>
      <c r="I6" s="9">
        <f>'5'!$V6</f>
        <v>0</v>
      </c>
      <c r="J6" s="9">
        <f>'6'!$V6</f>
        <v>0</v>
      </c>
      <c r="K6" s="9">
        <f>'7'!$V6</f>
        <v>0</v>
      </c>
      <c r="L6" s="9">
        <f>'8'!$V6</f>
        <v>0</v>
      </c>
      <c r="M6" s="9">
        <f>'9'!$V6</f>
        <v>0</v>
      </c>
      <c r="N6" s="9">
        <f>'10'!$V6</f>
        <v>0</v>
      </c>
      <c r="O6" s="9">
        <f>'11'!$V6</f>
        <v>0</v>
      </c>
      <c r="P6" s="9">
        <f>'12'!$V6</f>
        <v>0</v>
      </c>
      <c r="Q6" s="9">
        <f>'13'!$V6</f>
        <v>0</v>
      </c>
      <c r="R6" s="9">
        <f>'14'!$V6</f>
        <v>0</v>
      </c>
      <c r="S6" s="9">
        <f>'15'!$V6</f>
        <v>0</v>
      </c>
      <c r="T6" s="9">
        <f>'16'!$V6</f>
        <v>0</v>
      </c>
      <c r="U6" s="9">
        <f>'17'!$V6</f>
        <v>0</v>
      </c>
      <c r="V6" s="9">
        <f>'18'!$V6</f>
        <v>0</v>
      </c>
      <c r="W6" s="9">
        <f>'19'!$V6</f>
        <v>0</v>
      </c>
      <c r="X6" s="9">
        <f>'20'!$V6</f>
        <v>0</v>
      </c>
      <c r="Y6" s="9">
        <f>'21'!$V6</f>
        <v>0</v>
      </c>
      <c r="Z6" s="9">
        <f>'22'!$V6</f>
        <v>0</v>
      </c>
      <c r="AA6" s="9">
        <f>'23'!$V6</f>
        <v>0</v>
      </c>
      <c r="AB6" s="9">
        <f>'24'!$V6</f>
        <v>0</v>
      </c>
      <c r="AC6" s="9">
        <f>'25'!$V6</f>
        <v>0</v>
      </c>
      <c r="AD6" s="9">
        <f>'26'!$V6</f>
        <v>0</v>
      </c>
      <c r="AE6" s="9">
        <f>'27'!$V6</f>
        <v>0</v>
      </c>
      <c r="AF6" s="9">
        <f>'28'!$V6</f>
        <v>0</v>
      </c>
      <c r="AG6" s="9">
        <f>'29'!$V6</f>
        <v>0</v>
      </c>
      <c r="AH6" s="9">
        <f>'30'!$V6</f>
        <v>0</v>
      </c>
      <c r="AI6" s="9">
        <f>'31'!$V6</f>
        <v>0</v>
      </c>
      <c r="AJ6" s="10">
        <f t="shared" si="2"/>
        <v>0</v>
      </c>
    </row>
    <row r="7" ht="26.25" customHeight="1">
      <c r="A7" s="11" t="s">
        <v>14</v>
      </c>
      <c r="B7" s="12">
        <f>IF(AJ12 &gt; B2,B2,AJ12+B4)</f>
        <v>-13500</v>
      </c>
      <c r="C7" s="7" t="s">
        <v>15</v>
      </c>
      <c r="D7" s="8">
        <v>150.0</v>
      </c>
      <c r="E7" s="9">
        <f>'1'!$V7</f>
        <v>0</v>
      </c>
      <c r="F7" s="9">
        <f>'2'!$V7</f>
        <v>0</v>
      </c>
      <c r="G7" s="9">
        <f>'3'!$V7</f>
        <v>0</v>
      </c>
      <c r="H7" s="9">
        <f>'4'!$V7</f>
        <v>0</v>
      </c>
      <c r="I7" s="9">
        <f>'5'!$V7</f>
        <v>0</v>
      </c>
      <c r="J7" s="9">
        <f>'6'!$V7</f>
        <v>0</v>
      </c>
      <c r="K7" s="9">
        <f>'7'!$V7</f>
        <v>0</v>
      </c>
      <c r="L7" s="9">
        <f>'8'!$V7</f>
        <v>0</v>
      </c>
      <c r="M7" s="9">
        <f>'9'!$V7</f>
        <v>0</v>
      </c>
      <c r="N7" s="9">
        <f>'10'!$V7</f>
        <v>0</v>
      </c>
      <c r="O7" s="9">
        <f>'11'!$V7</f>
        <v>0</v>
      </c>
      <c r="P7" s="9">
        <f>'12'!$V7</f>
        <v>0</v>
      </c>
      <c r="Q7" s="9">
        <f>'13'!$V7</f>
        <v>0</v>
      </c>
      <c r="R7" s="9">
        <f>'14'!$V7</f>
        <v>0</v>
      </c>
      <c r="S7" s="9">
        <f>'15'!$V7</f>
        <v>0</v>
      </c>
      <c r="T7" s="9">
        <f>'16'!$V7</f>
        <v>0</v>
      </c>
      <c r="U7" s="9">
        <f>'17'!$V7</f>
        <v>0</v>
      </c>
      <c r="V7" s="9">
        <f>'18'!$V7</f>
        <v>0</v>
      </c>
      <c r="W7" s="9">
        <f>'19'!$V7</f>
        <v>0</v>
      </c>
      <c r="X7" s="9">
        <f>'20'!$V7</f>
        <v>0</v>
      </c>
      <c r="Y7" s="9">
        <f>'21'!$V7</f>
        <v>0</v>
      </c>
      <c r="Z7" s="9">
        <f>'22'!$V7</f>
        <v>0</v>
      </c>
      <c r="AA7" s="9">
        <f>'23'!$V7</f>
        <v>0</v>
      </c>
      <c r="AB7" s="9">
        <f>'24'!$V7</f>
        <v>0</v>
      </c>
      <c r="AC7" s="9">
        <f>'25'!$V7</f>
        <v>0</v>
      </c>
      <c r="AD7" s="9">
        <f>'26'!$V7</f>
        <v>0</v>
      </c>
      <c r="AE7" s="9">
        <f>'27'!$V7</f>
        <v>0</v>
      </c>
      <c r="AF7" s="9">
        <f>'28'!$V7</f>
        <v>0</v>
      </c>
      <c r="AG7" s="9">
        <f>'29'!$V7</f>
        <v>0</v>
      </c>
      <c r="AH7" s="9">
        <f>'30'!$V7</f>
        <v>0</v>
      </c>
      <c r="AI7" s="9">
        <f>'31'!$V7</f>
        <v>0</v>
      </c>
      <c r="AJ7" s="10">
        <f t="shared" si="2"/>
        <v>0</v>
      </c>
    </row>
    <row r="8" ht="26.25" customHeight="1">
      <c r="A8" s="13" t="s">
        <v>16</v>
      </c>
      <c r="B8" s="14">
        <f>AJ17</f>
        <v>0</v>
      </c>
      <c r="C8" s="7" t="s">
        <v>17</v>
      </c>
      <c r="D8" s="15">
        <v>150.0</v>
      </c>
      <c r="E8" s="9">
        <f>'1'!$V8</f>
        <v>0</v>
      </c>
      <c r="F8" s="9">
        <f>'2'!$V8</f>
        <v>0</v>
      </c>
      <c r="G8" s="9">
        <f>'3'!$V8</f>
        <v>0</v>
      </c>
      <c r="H8" s="9">
        <f>'4'!$V8</f>
        <v>0</v>
      </c>
      <c r="I8" s="9">
        <f>'5'!$V8</f>
        <v>0</v>
      </c>
      <c r="J8" s="9">
        <f>'6'!$V8</f>
        <v>0</v>
      </c>
      <c r="K8" s="9">
        <f>'7'!$V8</f>
        <v>0</v>
      </c>
      <c r="L8" s="9">
        <f>'8'!$V8</f>
        <v>0</v>
      </c>
      <c r="M8" s="9">
        <f>'9'!$V8</f>
        <v>0</v>
      </c>
      <c r="N8" s="9">
        <f>'10'!$V8</f>
        <v>0</v>
      </c>
      <c r="O8" s="9">
        <f>'11'!$V8</f>
        <v>0</v>
      </c>
      <c r="P8" s="9">
        <f>'12'!$V8</f>
        <v>0</v>
      </c>
      <c r="Q8" s="9">
        <f>'13'!$V8</f>
        <v>0</v>
      </c>
      <c r="R8" s="9">
        <f>'14'!$V8</f>
        <v>0</v>
      </c>
      <c r="S8" s="9">
        <f>'15'!$V8</f>
        <v>0</v>
      </c>
      <c r="T8" s="9">
        <f>'16'!$V8</f>
        <v>0</v>
      </c>
      <c r="U8" s="9">
        <f>'17'!$V8</f>
        <v>0</v>
      </c>
      <c r="V8" s="9">
        <f>'18'!$V8</f>
        <v>0</v>
      </c>
      <c r="W8" s="9">
        <f>'19'!$V8</f>
        <v>0</v>
      </c>
      <c r="X8" s="9">
        <f>'20'!$V8</f>
        <v>0</v>
      </c>
      <c r="Y8" s="9">
        <f>'21'!$V8</f>
        <v>0</v>
      </c>
      <c r="Z8" s="9">
        <f>'22'!$V8</f>
        <v>0</v>
      </c>
      <c r="AA8" s="9">
        <f>'23'!$V8</f>
        <v>0</v>
      </c>
      <c r="AB8" s="9">
        <f>'24'!$V8</f>
        <v>0</v>
      </c>
      <c r="AC8" s="9">
        <f>'25'!$V8</f>
        <v>0</v>
      </c>
      <c r="AD8" s="9">
        <f>'26'!$V8</f>
        <v>0</v>
      </c>
      <c r="AE8" s="9">
        <f>'27'!$V8</f>
        <v>0</v>
      </c>
      <c r="AF8" s="9">
        <f>'28'!$V8</f>
        <v>0</v>
      </c>
      <c r="AG8" s="9">
        <f>'29'!$V8</f>
        <v>0</v>
      </c>
      <c r="AH8" s="9">
        <f>'30'!$V8</f>
        <v>0</v>
      </c>
      <c r="AI8" s="9">
        <f>'31'!$V8</f>
        <v>0</v>
      </c>
      <c r="AJ8" s="10">
        <f t="shared" si="2"/>
        <v>0</v>
      </c>
    </row>
    <row r="9" ht="26.25" customHeight="1">
      <c r="A9" s="16" t="s">
        <v>18</v>
      </c>
      <c r="B9" s="17">
        <f>B7-B8</f>
        <v>-13500</v>
      </c>
      <c r="C9" s="18" t="s">
        <v>19</v>
      </c>
      <c r="D9" s="19">
        <v>25.0</v>
      </c>
      <c r="E9" s="20">
        <f>Max('1'!$B$9:$U$9)*$D$9</f>
        <v>0</v>
      </c>
      <c r="F9" s="20">
        <f>Max('2'!$B$9:$U$9)*$D$9</f>
        <v>0</v>
      </c>
      <c r="G9" s="20">
        <f>Max('3'!$B$9:$U$9)*$D$9</f>
        <v>0</v>
      </c>
      <c r="H9" s="20">
        <f>Max('4'!$B$9:$U$9)*$D$9</f>
        <v>0</v>
      </c>
      <c r="I9" s="20">
        <f>Max('5'!$B$9:$U$9)*$D$9</f>
        <v>0</v>
      </c>
      <c r="J9" s="20">
        <f>Max('6'!$B$9:$U$9)*$D$9</f>
        <v>0</v>
      </c>
      <c r="K9" s="20">
        <f>Max('7'!$B$9:$U$9)*$D$9</f>
        <v>0</v>
      </c>
      <c r="L9" s="20">
        <f>Max('8'!$B$9:$U$9)*$D$9</f>
        <v>0</v>
      </c>
      <c r="M9" s="20">
        <f>Max('9'!$B$9:$U$9)*$D$9</f>
        <v>0</v>
      </c>
      <c r="N9" s="20">
        <f>Max('10'!$B$9:$U$9)*$D$9</f>
        <v>0</v>
      </c>
      <c r="O9" s="20">
        <f>Max('11'!$B$9:$U$9)*$D$9</f>
        <v>0</v>
      </c>
      <c r="P9" s="20">
        <f>Max('12'!$B$9:$U$9)*$D$9</f>
        <v>0</v>
      </c>
      <c r="Q9" s="20">
        <f>Max('13'!$B$9:$U$9)*$D$9</f>
        <v>0</v>
      </c>
      <c r="R9" s="20">
        <f>Max('14'!$B$9:$U$9)*$D$9</f>
        <v>0</v>
      </c>
      <c r="S9" s="20">
        <f>Max('15'!$B$9:$U$9)*$D$9</f>
        <v>0</v>
      </c>
      <c r="T9" s="20">
        <f>Max('16'!$B$9:$U$9)*$D$9</f>
        <v>0</v>
      </c>
      <c r="U9" s="20">
        <f>Max('17'!$B$9:$U$9)*$D$9</f>
        <v>0</v>
      </c>
      <c r="V9" s="20">
        <f>Max('18'!$B$9:$U$9)*$D$9</f>
        <v>0</v>
      </c>
      <c r="W9" s="20">
        <f>Max('19'!$B$9:$U$9)*$D$9</f>
        <v>0</v>
      </c>
      <c r="X9" s="20">
        <f>Max('20'!$B$9:$U$9)*$D$9</f>
        <v>0</v>
      </c>
      <c r="Y9" s="20">
        <f>Max('21'!$B$9:$U$9)*$D$9</f>
        <v>0</v>
      </c>
      <c r="Z9" s="20">
        <f>Max('22'!$B$9:$U$9)*$D$9</f>
        <v>0</v>
      </c>
      <c r="AA9" s="20">
        <f>Max('23'!$B$9:$U$9)*$D$9</f>
        <v>0</v>
      </c>
      <c r="AB9" s="20">
        <f>Max('24'!$B$9:$U$9)*$D$9</f>
        <v>0</v>
      </c>
      <c r="AC9" s="20">
        <f>Max('25'!$B$9:$U$9)*$D$9</f>
        <v>0</v>
      </c>
      <c r="AD9" s="20">
        <f>Max('26'!$B$9:$U$9)*$D$9</f>
        <v>0</v>
      </c>
      <c r="AE9" s="20">
        <f>Max('27'!$B$9:$U$9)*$D$9</f>
        <v>0</v>
      </c>
      <c r="AF9" s="20">
        <f>Max('28'!$B$9:$U$9)*$D$9</f>
        <v>0</v>
      </c>
      <c r="AG9" s="20">
        <f>Max('29'!$B$9:$U$9)*$D$9</f>
        <v>0</v>
      </c>
      <c r="AH9" s="20">
        <f>Max('30'!$B$9:$U$9)*$D$9</f>
        <v>0</v>
      </c>
      <c r="AI9" s="20">
        <f>Max('31'!$B$9:$U$9)*$D$9</f>
        <v>0</v>
      </c>
      <c r="AJ9" s="21">
        <f t="shared" si="2"/>
        <v>0</v>
      </c>
    </row>
    <row r="10" ht="26.25" customHeight="1">
      <c r="A10" s="22"/>
      <c r="B10" s="23"/>
      <c r="C10" s="7" t="s">
        <v>20</v>
      </c>
      <c r="D10" s="24">
        <v>0.1</v>
      </c>
      <c r="E10" s="9">
        <f>'1'!$W$9*100*$D$10</f>
        <v>0</v>
      </c>
      <c r="F10" s="9">
        <f>'2'!$W$9*100*$D$10</f>
        <v>0</v>
      </c>
      <c r="G10" s="9">
        <f>'3'!$W$9*100*$D$10</f>
        <v>0</v>
      </c>
      <c r="H10" s="9">
        <f>'4'!$W$9*100*$D$10</f>
        <v>0</v>
      </c>
      <c r="I10" s="9">
        <f>'5'!$W$9*100*$D$10</f>
        <v>0</v>
      </c>
      <c r="J10" s="9">
        <f>'6'!$W$9*100*$D$10</f>
        <v>0</v>
      </c>
      <c r="K10" s="9">
        <f>'7'!$W$9*100*$D$10</f>
        <v>0</v>
      </c>
      <c r="L10" s="9">
        <f>'8'!$W$9*100*$D$10</f>
        <v>0</v>
      </c>
      <c r="M10" s="9">
        <f>'9'!$W$9*100*$D$10</f>
        <v>0</v>
      </c>
      <c r="N10" s="9">
        <f>'10'!$W$9*100*$D$10</f>
        <v>0</v>
      </c>
      <c r="O10" s="9">
        <f>'11'!$W$9*100*$D$10</f>
        <v>0</v>
      </c>
      <c r="P10" s="9">
        <f>'12'!$W$9*100*$D$10</f>
        <v>0</v>
      </c>
      <c r="Q10" s="9">
        <f>'13'!$W$9*100*$D$10</f>
        <v>0</v>
      </c>
      <c r="R10" s="9">
        <f>'14'!$W$9*100*$D$10</f>
        <v>0</v>
      </c>
      <c r="S10" s="9">
        <f>'15'!$W$9*100*$D$10</f>
        <v>0</v>
      </c>
      <c r="T10" s="9">
        <f>'16'!$W$9*100*$D$10</f>
        <v>0</v>
      </c>
      <c r="U10" s="9">
        <f>'17'!$W$9*100*$D$10</f>
        <v>0</v>
      </c>
      <c r="V10" s="9">
        <f>'18'!$W$9*100*$D$10</f>
        <v>0</v>
      </c>
      <c r="W10" s="9">
        <f>'19'!$W$9*100*$D$10</f>
        <v>0</v>
      </c>
      <c r="X10" s="9">
        <f>'20'!$W$9*100*$D$10</f>
        <v>0</v>
      </c>
      <c r="Y10" s="9">
        <f>'21'!$W$9*100*$D$10</f>
        <v>0</v>
      </c>
      <c r="Z10" s="9">
        <f>'22'!$W$9*100*$D$10</f>
        <v>0</v>
      </c>
      <c r="AA10" s="9">
        <f>'23'!$W$9*100*$D$10</f>
        <v>0</v>
      </c>
      <c r="AB10" s="9">
        <f>'24'!$W$9*100*$D$10</f>
        <v>0</v>
      </c>
      <c r="AC10" s="9">
        <f>'25'!$W$9*100*$D$10</f>
        <v>0</v>
      </c>
      <c r="AD10" s="9">
        <f>'26'!$W$9*100*$D$10</f>
        <v>0</v>
      </c>
      <c r="AE10" s="9">
        <f>'27'!$W$9*100*$D$10</f>
        <v>0</v>
      </c>
      <c r="AF10" s="9">
        <f>'28'!$W$9*100*$D$10</f>
        <v>0</v>
      </c>
      <c r="AG10" s="9">
        <f>'29'!$W$9*100*$D$10</f>
        <v>0</v>
      </c>
      <c r="AH10" s="9">
        <f>'30'!$W$9*100*$D$10</f>
        <v>0</v>
      </c>
      <c r="AI10" s="9">
        <f>'31'!$W$9*100*$D$10</f>
        <v>0</v>
      </c>
      <c r="AJ10" s="10">
        <f t="shared" si="2"/>
        <v>0</v>
      </c>
    </row>
    <row r="11" ht="26.25" customHeight="1">
      <c r="A11" s="25"/>
      <c r="B11" s="25"/>
      <c r="C11" s="26" t="s">
        <v>21</v>
      </c>
      <c r="D11" s="15">
        <v>10.0</v>
      </c>
      <c r="E11" s="9">
        <f>Sum('1'!$B$9:$U$9)*$D$11</f>
        <v>0</v>
      </c>
      <c r="F11" s="9">
        <f>Sum('2'!$B$9:$U$9)*$D$11</f>
        <v>0</v>
      </c>
      <c r="G11" s="9">
        <f>Sum('3'!$B$9:$U$9)*$D$11</f>
        <v>0</v>
      </c>
      <c r="H11" s="9">
        <f>Sum('1'!$B$9:$U$9)*$D$11</f>
        <v>0</v>
      </c>
      <c r="I11" s="9">
        <f>Sum('5'!$B$9:$U$9)*$D$11</f>
        <v>0</v>
      </c>
      <c r="J11" s="9">
        <f>Sum('6'!$B$9:$U$9)*$D$11</f>
        <v>0</v>
      </c>
      <c r="K11" s="9">
        <f>Sum('7'!$B$9:$U$9)*$D$11</f>
        <v>0</v>
      </c>
      <c r="L11" s="9">
        <f>Sum('8'!$B$9:$U$9)*$D$11</f>
        <v>0</v>
      </c>
      <c r="M11" s="9">
        <f>Sum('9'!$B$9:$U$9)*$D$11</f>
        <v>0</v>
      </c>
      <c r="N11" s="9">
        <f>Sum('10'!$B$9:$U$9)*$D$11</f>
        <v>0</v>
      </c>
      <c r="O11" s="9">
        <f>Sum('11'!$B$9:$U$9)*$D$11</f>
        <v>0</v>
      </c>
      <c r="P11" s="9">
        <f>Sum('12'!$B$9:$U$9)*$D$11</f>
        <v>0</v>
      </c>
      <c r="Q11" s="9">
        <f>Sum('13'!$B$9:$U$9)*$D$11</f>
        <v>0</v>
      </c>
      <c r="R11" s="9">
        <f>Sum('14'!$B$9:$U$9)*$D$11</f>
        <v>0</v>
      </c>
      <c r="S11" s="9">
        <f>Sum('15'!$B$9:$U$9)*$D$11</f>
        <v>0</v>
      </c>
      <c r="T11" s="9">
        <f>Sum('16'!$B$9:$U$9)*$D$11</f>
        <v>0</v>
      </c>
      <c r="U11" s="9">
        <f>Sum('17'!$B$9:$U$9)*$D$11</f>
        <v>0</v>
      </c>
      <c r="V11" s="9">
        <f>Sum('18'!$B$9:$U$9)*$D$11</f>
        <v>0</v>
      </c>
      <c r="W11" s="9">
        <f>Sum('19'!$B$9:$U$9)*$D$11</f>
        <v>0</v>
      </c>
      <c r="X11" s="9">
        <f>Sum('20'!$B$9:$U$9)*$D$11</f>
        <v>0</v>
      </c>
      <c r="Y11" s="9">
        <f>Sum('21'!$B$9:$U$9)*$D$11</f>
        <v>0</v>
      </c>
      <c r="Z11" s="9">
        <f>Sum('22'!$B$9:$U$9)*$D$11</f>
        <v>0</v>
      </c>
      <c r="AA11" s="9">
        <f>Sum('23'!$B$9:$U$9)*$D$11</f>
        <v>0</v>
      </c>
      <c r="AB11" s="9">
        <f>Sum('24'!$B$9:$U$9)*$D$11</f>
        <v>0</v>
      </c>
      <c r="AC11" s="9">
        <f>Sum('25'!$B$9:$U$9)*$D$11</f>
        <v>0</v>
      </c>
      <c r="AD11" s="9">
        <f>Sum('26'!$B$9:$U$9)*$D$11</f>
        <v>0</v>
      </c>
      <c r="AE11" s="9">
        <f>Sum('27'!$B$9:$U$9)*$D$11</f>
        <v>0</v>
      </c>
      <c r="AF11" s="9">
        <f>Sum('28'!$B$9:$U$9)*$D$11</f>
        <v>0</v>
      </c>
      <c r="AG11" s="9">
        <f>Sum('29'!$B$9:$U$9)*$D$11</f>
        <v>0</v>
      </c>
      <c r="AH11" s="9">
        <f>Sum('30'!$B$9:$U$9)*$D$11</f>
        <v>0</v>
      </c>
      <c r="AI11" s="9">
        <f>Sum('31'!$B$9:$U$9)*$D$11</f>
        <v>0</v>
      </c>
      <c r="AJ11" s="10">
        <f t="shared" si="2"/>
        <v>0</v>
      </c>
    </row>
    <row r="12" ht="26.25" customHeight="1">
      <c r="A12" s="25"/>
      <c r="B12" s="25"/>
      <c r="C12" s="27" t="s">
        <v>3</v>
      </c>
      <c r="D12" s="28"/>
      <c r="E12" s="29">
        <f>IF(AND(E1 &lt; TODAY(), Sum(E2:E8) = 0), -B3, Sum(E2:E11))</f>
        <v>-750</v>
      </c>
      <c r="F12" s="29">
        <f t="shared" ref="F12:AI12" si="3">IF(AND(F1 &lt; TODAY(), Sum(F2:F8) = 0), -$B$3, Sum(F2:F11))</f>
        <v>-750</v>
      </c>
      <c r="G12" s="29">
        <f t="shared" si="3"/>
        <v>-750</v>
      </c>
      <c r="H12" s="29">
        <f t="shared" si="3"/>
        <v>-750</v>
      </c>
      <c r="I12" s="29">
        <f t="shared" si="3"/>
        <v>-750</v>
      </c>
      <c r="J12" s="29">
        <f t="shared" si="3"/>
        <v>-750</v>
      </c>
      <c r="K12" s="29">
        <f t="shared" si="3"/>
        <v>-750</v>
      </c>
      <c r="L12" s="29">
        <f t="shared" si="3"/>
        <v>-750</v>
      </c>
      <c r="M12" s="29">
        <f t="shared" si="3"/>
        <v>-750</v>
      </c>
      <c r="N12" s="29">
        <f t="shared" si="3"/>
        <v>-750</v>
      </c>
      <c r="O12" s="29">
        <f t="shared" si="3"/>
        <v>-750</v>
      </c>
      <c r="P12" s="29">
        <f t="shared" si="3"/>
        <v>-750</v>
      </c>
      <c r="Q12" s="29">
        <f t="shared" si="3"/>
        <v>-750</v>
      </c>
      <c r="R12" s="29">
        <f t="shared" si="3"/>
        <v>-750</v>
      </c>
      <c r="S12" s="29">
        <f t="shared" si="3"/>
        <v>-750</v>
      </c>
      <c r="T12" s="29">
        <f t="shared" si="3"/>
        <v>-750</v>
      </c>
      <c r="U12" s="29">
        <f t="shared" si="3"/>
        <v>-750</v>
      </c>
      <c r="V12" s="29">
        <f t="shared" si="3"/>
        <v>-750</v>
      </c>
      <c r="W12" s="29">
        <f t="shared" si="3"/>
        <v>0</v>
      </c>
      <c r="X12" s="29">
        <f t="shared" si="3"/>
        <v>0</v>
      </c>
      <c r="Y12" s="29">
        <f t="shared" si="3"/>
        <v>0</v>
      </c>
      <c r="Z12" s="29">
        <f t="shared" si="3"/>
        <v>0</v>
      </c>
      <c r="AA12" s="29">
        <f t="shared" si="3"/>
        <v>0</v>
      </c>
      <c r="AB12" s="29">
        <f t="shared" si="3"/>
        <v>0</v>
      </c>
      <c r="AC12" s="29">
        <f t="shared" si="3"/>
        <v>0</v>
      </c>
      <c r="AD12" s="29">
        <f t="shared" si="3"/>
        <v>0</v>
      </c>
      <c r="AE12" s="29">
        <f t="shared" si="3"/>
        <v>0</v>
      </c>
      <c r="AF12" s="29">
        <f t="shared" si="3"/>
        <v>0</v>
      </c>
      <c r="AG12" s="29">
        <f t="shared" si="3"/>
        <v>0</v>
      </c>
      <c r="AH12" s="29">
        <f t="shared" si="3"/>
        <v>0</v>
      </c>
      <c r="AI12" s="29">
        <f t="shared" si="3"/>
        <v>0</v>
      </c>
      <c r="AJ12" s="30">
        <f t="shared" si="2"/>
        <v>-13500</v>
      </c>
    </row>
    <row r="13" ht="26.25" customHeight="1">
      <c r="A13" s="25"/>
      <c r="B13" s="25"/>
      <c r="C13" s="31" t="s">
        <v>22</v>
      </c>
      <c r="D13" s="32"/>
      <c r="E13" s="4">
        <v>46023.0</v>
      </c>
      <c r="F13" s="4">
        <f t="shared" ref="F13:AI13" si="4">E13+1</f>
        <v>46024</v>
      </c>
      <c r="G13" s="4">
        <f t="shared" si="4"/>
        <v>46025</v>
      </c>
      <c r="H13" s="4">
        <f t="shared" si="4"/>
        <v>46026</v>
      </c>
      <c r="I13" s="4">
        <f t="shared" si="4"/>
        <v>46027</v>
      </c>
      <c r="J13" s="4">
        <f t="shared" si="4"/>
        <v>46028</v>
      </c>
      <c r="K13" s="4">
        <f t="shared" si="4"/>
        <v>46029</v>
      </c>
      <c r="L13" s="4">
        <f t="shared" si="4"/>
        <v>46030</v>
      </c>
      <c r="M13" s="4">
        <f t="shared" si="4"/>
        <v>46031</v>
      </c>
      <c r="N13" s="4">
        <f t="shared" si="4"/>
        <v>46032</v>
      </c>
      <c r="O13" s="4">
        <f t="shared" si="4"/>
        <v>46033</v>
      </c>
      <c r="P13" s="4">
        <f t="shared" si="4"/>
        <v>46034</v>
      </c>
      <c r="Q13" s="4">
        <f t="shared" si="4"/>
        <v>46035</v>
      </c>
      <c r="R13" s="4">
        <f t="shared" si="4"/>
        <v>46036</v>
      </c>
      <c r="S13" s="4">
        <f t="shared" si="4"/>
        <v>46037</v>
      </c>
      <c r="T13" s="4">
        <f t="shared" si="4"/>
        <v>46038</v>
      </c>
      <c r="U13" s="4">
        <f t="shared" si="4"/>
        <v>46039</v>
      </c>
      <c r="V13" s="4">
        <f t="shared" si="4"/>
        <v>46040</v>
      </c>
      <c r="W13" s="4">
        <f t="shared" si="4"/>
        <v>46041</v>
      </c>
      <c r="X13" s="4">
        <f t="shared" si="4"/>
        <v>46042</v>
      </c>
      <c r="Y13" s="4">
        <f t="shared" si="4"/>
        <v>46043</v>
      </c>
      <c r="Z13" s="4">
        <f t="shared" si="4"/>
        <v>46044</v>
      </c>
      <c r="AA13" s="4">
        <f t="shared" si="4"/>
        <v>46045</v>
      </c>
      <c r="AB13" s="4">
        <f t="shared" si="4"/>
        <v>46046</v>
      </c>
      <c r="AC13" s="4">
        <f t="shared" si="4"/>
        <v>46047</v>
      </c>
      <c r="AD13" s="4">
        <f t="shared" si="4"/>
        <v>46048</v>
      </c>
      <c r="AE13" s="4">
        <f t="shared" si="4"/>
        <v>46049</v>
      </c>
      <c r="AF13" s="4">
        <f t="shared" si="4"/>
        <v>46050</v>
      </c>
      <c r="AG13" s="4">
        <f t="shared" si="4"/>
        <v>46051</v>
      </c>
      <c r="AH13" s="4">
        <f t="shared" si="4"/>
        <v>46052</v>
      </c>
      <c r="AI13" s="4">
        <f t="shared" si="4"/>
        <v>46053</v>
      </c>
      <c r="AJ13" s="33" t="s">
        <v>3</v>
      </c>
    </row>
    <row r="14" ht="26.25" customHeight="1">
      <c r="A14" s="25"/>
      <c r="B14" s="25"/>
      <c r="C14" s="5" t="s">
        <v>23</v>
      </c>
      <c r="D14" s="34">
        <v>1.0</v>
      </c>
      <c r="E14" s="9">
        <f>'1'!$V11</f>
        <v>0</v>
      </c>
      <c r="F14" s="9">
        <f>'2'!$V11</f>
        <v>0</v>
      </c>
      <c r="G14" s="9">
        <f>'3'!$V11</f>
        <v>0</v>
      </c>
      <c r="H14" s="9">
        <f>'4'!$V11</f>
        <v>0</v>
      </c>
      <c r="I14" s="9">
        <f>'5'!$V11</f>
        <v>0</v>
      </c>
      <c r="J14" s="9">
        <f>'6'!$V11</f>
        <v>0</v>
      </c>
      <c r="K14" s="9">
        <f>'7'!$V11</f>
        <v>0</v>
      </c>
      <c r="L14" s="9">
        <f>'8'!$V11</f>
        <v>0</v>
      </c>
      <c r="M14" s="9">
        <f>'9'!$V11</f>
        <v>0</v>
      </c>
      <c r="N14" s="9">
        <f>'10'!$V11</f>
        <v>0</v>
      </c>
      <c r="O14" s="9">
        <f>'11'!$V11</f>
        <v>0</v>
      </c>
      <c r="P14" s="9">
        <f>'12'!$V11</f>
        <v>0</v>
      </c>
      <c r="Q14" s="9">
        <f>'13'!$V11</f>
        <v>0</v>
      </c>
      <c r="R14" s="9">
        <f>'14'!$V11</f>
        <v>0</v>
      </c>
      <c r="S14" s="9">
        <f>'15'!$V11</f>
        <v>0</v>
      </c>
      <c r="T14" s="9">
        <f>'16'!$V11</f>
        <v>0</v>
      </c>
      <c r="U14" s="9">
        <f>'17'!$V11</f>
        <v>0</v>
      </c>
      <c r="V14" s="9">
        <f>'18'!$V11</f>
        <v>0</v>
      </c>
      <c r="W14" s="9">
        <f>'19'!$V11</f>
        <v>0</v>
      </c>
      <c r="X14" s="9">
        <f>'20'!$V11</f>
        <v>0</v>
      </c>
      <c r="Y14" s="9">
        <f>'21'!$V11</f>
        <v>0</v>
      </c>
      <c r="Z14" s="9">
        <f>'22'!$V11</f>
        <v>0</v>
      </c>
      <c r="AA14" s="9">
        <f>'23'!$V11</f>
        <v>0</v>
      </c>
      <c r="AB14" s="9">
        <f>'24'!$V11</f>
        <v>0</v>
      </c>
      <c r="AC14" s="9">
        <f>'25'!$V11</f>
        <v>0</v>
      </c>
      <c r="AD14" s="9">
        <f>'26'!$V11</f>
        <v>0</v>
      </c>
      <c r="AE14" s="9">
        <f>'27'!$V11</f>
        <v>0</v>
      </c>
      <c r="AF14" s="9">
        <f>'28'!$V11</f>
        <v>0</v>
      </c>
      <c r="AG14" s="9">
        <f>'29'!$V11</f>
        <v>0</v>
      </c>
      <c r="AH14" s="9">
        <f>'30'!$V11</f>
        <v>0</v>
      </c>
      <c r="AI14" s="9">
        <f>'31'!$V11</f>
        <v>0</v>
      </c>
      <c r="AJ14" s="10">
        <f t="shared" ref="AJ14:AJ16" si="5">SUM(E14:AI14)</f>
        <v>0</v>
      </c>
    </row>
    <row r="15" ht="26.25" customHeight="1">
      <c r="A15" s="25"/>
      <c r="B15" s="25"/>
      <c r="C15" s="11" t="s">
        <v>24</v>
      </c>
      <c r="D15" s="35">
        <v>1.0</v>
      </c>
      <c r="E15" s="9">
        <f>'1'!$V12</f>
        <v>0</v>
      </c>
      <c r="F15" s="9">
        <f>'2'!$V12</f>
        <v>0</v>
      </c>
      <c r="G15" s="9">
        <f>'3'!$V12</f>
        <v>0</v>
      </c>
      <c r="H15" s="9">
        <f>'4'!$V12</f>
        <v>0</v>
      </c>
      <c r="I15" s="9">
        <f>'5'!$V12</f>
        <v>0</v>
      </c>
      <c r="J15" s="9">
        <f>'6'!$V12</f>
        <v>0</v>
      </c>
      <c r="K15" s="9">
        <f>'7'!$V12</f>
        <v>0</v>
      </c>
      <c r="L15" s="9">
        <f>'8'!$V12</f>
        <v>0</v>
      </c>
      <c r="M15" s="9">
        <f>'9'!$V12</f>
        <v>0</v>
      </c>
      <c r="N15" s="9">
        <f>'10'!$V12</f>
        <v>0</v>
      </c>
      <c r="O15" s="9">
        <f>'11'!$V12</f>
        <v>0</v>
      </c>
      <c r="P15" s="9">
        <f>'12'!$V12</f>
        <v>0</v>
      </c>
      <c r="Q15" s="9">
        <f>'13'!$V12</f>
        <v>0</v>
      </c>
      <c r="R15" s="9">
        <f>'14'!$V12</f>
        <v>0</v>
      </c>
      <c r="S15" s="9">
        <f>'15'!$V12</f>
        <v>0</v>
      </c>
      <c r="T15" s="9">
        <f>'16'!$V12</f>
        <v>0</v>
      </c>
      <c r="U15" s="9">
        <f>'17'!$V12</f>
        <v>0</v>
      </c>
      <c r="V15" s="9">
        <f>'18'!$V12</f>
        <v>0</v>
      </c>
      <c r="W15" s="9">
        <f>'19'!$V12</f>
        <v>0</v>
      </c>
      <c r="X15" s="9">
        <f>'20'!$V12</f>
        <v>0</v>
      </c>
      <c r="Y15" s="9">
        <f>'21'!$V12</f>
        <v>0</v>
      </c>
      <c r="Z15" s="9">
        <f>'22'!$V12</f>
        <v>0</v>
      </c>
      <c r="AA15" s="9">
        <f>'23'!$V12</f>
        <v>0</v>
      </c>
      <c r="AB15" s="9">
        <f>'24'!$V12</f>
        <v>0</v>
      </c>
      <c r="AC15" s="9">
        <f>'25'!$V12</f>
        <v>0</v>
      </c>
      <c r="AD15" s="9">
        <f>'26'!$V12</f>
        <v>0</v>
      </c>
      <c r="AE15" s="9">
        <f>'27'!$V12</f>
        <v>0</v>
      </c>
      <c r="AF15" s="9">
        <f>'28'!$V12</f>
        <v>0</v>
      </c>
      <c r="AG15" s="9">
        <f>'29'!$V12</f>
        <v>0</v>
      </c>
      <c r="AH15" s="9">
        <f>'30'!$V12</f>
        <v>0</v>
      </c>
      <c r="AI15" s="9">
        <f>'31'!$V12</f>
        <v>0</v>
      </c>
      <c r="AJ15" s="10">
        <f t="shared" si="5"/>
        <v>0</v>
      </c>
    </row>
    <row r="16" ht="26.25" customHeight="1">
      <c r="A16" s="25"/>
      <c r="B16" s="25"/>
      <c r="C16" s="13" t="s">
        <v>25</v>
      </c>
      <c r="D16" s="36">
        <v>1.0</v>
      </c>
      <c r="E16" s="9">
        <f>'1'!$V13</f>
        <v>0</v>
      </c>
      <c r="F16" s="9">
        <f>'2'!$V13</f>
        <v>0</v>
      </c>
      <c r="G16" s="9">
        <f>'3'!$V13</f>
        <v>0</v>
      </c>
      <c r="H16" s="9">
        <f>'4'!$V13</f>
        <v>0</v>
      </c>
      <c r="I16" s="9">
        <f>'5'!$V13</f>
        <v>0</v>
      </c>
      <c r="J16" s="9">
        <f>'6'!$V13</f>
        <v>0</v>
      </c>
      <c r="K16" s="9">
        <f>'7'!$V13</f>
        <v>0</v>
      </c>
      <c r="L16" s="9">
        <f>'8'!$V13</f>
        <v>0</v>
      </c>
      <c r="M16" s="9">
        <f>'9'!$V13</f>
        <v>0</v>
      </c>
      <c r="N16" s="9">
        <f>'10'!$V13</f>
        <v>0</v>
      </c>
      <c r="O16" s="9">
        <f>'11'!$V13</f>
        <v>0</v>
      </c>
      <c r="P16" s="9">
        <f>'12'!$V13</f>
        <v>0</v>
      </c>
      <c r="Q16" s="9">
        <f>'13'!$V13</f>
        <v>0</v>
      </c>
      <c r="R16" s="9">
        <f>'14'!$V13</f>
        <v>0</v>
      </c>
      <c r="S16" s="9">
        <f>'15'!$V13</f>
        <v>0</v>
      </c>
      <c r="T16" s="9">
        <f>'16'!$V13</f>
        <v>0</v>
      </c>
      <c r="U16" s="9">
        <f>'17'!$V13</f>
        <v>0</v>
      </c>
      <c r="V16" s="9">
        <f>'18'!$V13</f>
        <v>0</v>
      </c>
      <c r="W16" s="9">
        <f>'19'!$V13</f>
        <v>0</v>
      </c>
      <c r="X16" s="9">
        <f>'20'!$V13</f>
        <v>0</v>
      </c>
      <c r="Y16" s="9">
        <f>'21'!$V13</f>
        <v>0</v>
      </c>
      <c r="Z16" s="9">
        <f>'22'!$V13</f>
        <v>0</v>
      </c>
      <c r="AA16" s="9">
        <f>'23'!$V13</f>
        <v>0</v>
      </c>
      <c r="AB16" s="9">
        <f>'24'!$V13</f>
        <v>0</v>
      </c>
      <c r="AC16" s="9">
        <f>'25'!$V13</f>
        <v>0</v>
      </c>
      <c r="AD16" s="9">
        <f>'26'!$V13</f>
        <v>0</v>
      </c>
      <c r="AE16" s="9">
        <f>'27'!$V13</f>
        <v>0</v>
      </c>
      <c r="AF16" s="9">
        <f>'28'!$V13</f>
        <v>0</v>
      </c>
      <c r="AG16" s="9">
        <f>'29'!$V13</f>
        <v>0</v>
      </c>
      <c r="AH16" s="9">
        <f>'30'!$V13</f>
        <v>0</v>
      </c>
      <c r="AI16" s="9">
        <f>'31'!$V13</f>
        <v>0</v>
      </c>
      <c r="AJ16" s="10">
        <f t="shared" si="5"/>
        <v>0</v>
      </c>
    </row>
    <row r="17" ht="33.0" customHeight="1">
      <c r="A17" s="37"/>
      <c r="B17" s="37"/>
      <c r="C17" s="38" t="s">
        <v>3</v>
      </c>
      <c r="D17" s="39"/>
      <c r="E17" s="29">
        <f t="shared" ref="E17:AJ17" si="6">SUM(E14:E16)</f>
        <v>0</v>
      </c>
      <c r="F17" s="29">
        <f t="shared" si="6"/>
        <v>0</v>
      </c>
      <c r="G17" s="29">
        <f t="shared" si="6"/>
        <v>0</v>
      </c>
      <c r="H17" s="29">
        <f t="shared" si="6"/>
        <v>0</v>
      </c>
      <c r="I17" s="29">
        <f t="shared" si="6"/>
        <v>0</v>
      </c>
      <c r="J17" s="29">
        <f t="shared" si="6"/>
        <v>0</v>
      </c>
      <c r="K17" s="29">
        <f t="shared" si="6"/>
        <v>0</v>
      </c>
      <c r="L17" s="29">
        <f t="shared" si="6"/>
        <v>0</v>
      </c>
      <c r="M17" s="29">
        <f t="shared" si="6"/>
        <v>0</v>
      </c>
      <c r="N17" s="29">
        <f t="shared" si="6"/>
        <v>0</v>
      </c>
      <c r="O17" s="29">
        <f t="shared" si="6"/>
        <v>0</v>
      </c>
      <c r="P17" s="29">
        <f t="shared" si="6"/>
        <v>0</v>
      </c>
      <c r="Q17" s="29">
        <f t="shared" si="6"/>
        <v>0</v>
      </c>
      <c r="R17" s="29">
        <f t="shared" si="6"/>
        <v>0</v>
      </c>
      <c r="S17" s="29">
        <f t="shared" si="6"/>
        <v>0</v>
      </c>
      <c r="T17" s="29">
        <f t="shared" si="6"/>
        <v>0</v>
      </c>
      <c r="U17" s="29">
        <f t="shared" si="6"/>
        <v>0</v>
      </c>
      <c r="V17" s="29">
        <f t="shared" si="6"/>
        <v>0</v>
      </c>
      <c r="W17" s="29">
        <f t="shared" si="6"/>
        <v>0</v>
      </c>
      <c r="X17" s="29">
        <f t="shared" si="6"/>
        <v>0</v>
      </c>
      <c r="Y17" s="29">
        <f t="shared" si="6"/>
        <v>0</v>
      </c>
      <c r="Z17" s="29">
        <f t="shared" si="6"/>
        <v>0</v>
      </c>
      <c r="AA17" s="29">
        <f t="shared" si="6"/>
        <v>0</v>
      </c>
      <c r="AB17" s="29">
        <f t="shared" si="6"/>
        <v>0</v>
      </c>
      <c r="AC17" s="29">
        <f t="shared" si="6"/>
        <v>0</v>
      </c>
      <c r="AD17" s="29">
        <f t="shared" si="6"/>
        <v>0</v>
      </c>
      <c r="AE17" s="29">
        <f t="shared" si="6"/>
        <v>0</v>
      </c>
      <c r="AF17" s="29">
        <f t="shared" si="6"/>
        <v>0</v>
      </c>
      <c r="AG17" s="29">
        <f t="shared" si="6"/>
        <v>0</v>
      </c>
      <c r="AH17" s="29">
        <f t="shared" si="6"/>
        <v>0</v>
      </c>
      <c r="AI17" s="29">
        <f t="shared" si="6"/>
        <v>0</v>
      </c>
      <c r="AJ17" s="30">
        <f t="shared" si="6"/>
        <v>0</v>
      </c>
    </row>
    <row r="18" ht="33.0" customHeight="1"/>
    <row r="19" ht="33.0" customHeight="1"/>
    <row r="20" ht="33.0" customHeight="1"/>
    <row r="21" ht="33.0" customHeight="1"/>
    <row r="22" ht="33.0" customHeight="1"/>
    <row r="23" ht="33.0" customHeight="1"/>
    <row r="24">
      <c r="E24" s="40"/>
    </row>
  </sheetData>
  <mergeCells count="4">
    <mergeCell ref="A1:B1"/>
    <mergeCell ref="C12:D12"/>
    <mergeCell ref="C13:D13"/>
    <mergeCell ref="C17:D17"/>
  </mergeCells>
  <conditionalFormatting sqref="B9">
    <cfRule type="cellIs" dxfId="0" priority="1" operator="lessThan">
      <formula>0</formula>
    </cfRule>
  </conditionalFormatting>
  <conditionalFormatting sqref="E2:AJ11">
    <cfRule type="cellIs" dxfId="1" priority="2" operator="greaterThan">
      <formula>0</formula>
    </cfRule>
  </conditionalFormatting>
  <conditionalFormatting sqref="E12:AI12">
    <cfRule type="cellIs" dxfId="2" priority="3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2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5">
        <f>('Dashboard-Jan'!D2)*(SUM(B2:U2))</f>
        <v>0</v>
      </c>
      <c r="W2" s="45">
        <v>0.0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5">
        <f>('Dashboard-Jan'!D3)*(SUM(B3:U3))</f>
        <v>0</v>
      </c>
      <c r="W3" s="45">
        <v>0.0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5">
        <f>('Dashboard-Jan'!D4)*(SUM(B4:U4))</f>
        <v>0</v>
      </c>
      <c r="W4" s="45">
        <v>0.0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5">
        <f>('Dashboard-Jan'!D5)*(SUM(B5:U5))</f>
        <v>0</v>
      </c>
      <c r="W5" s="45">
        <v>0.0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5">
        <f>('Dashboard-Jan'!D6)*(SUM(B6:U6))</f>
        <v>0</v>
      </c>
      <c r="W6" s="45">
        <v>0.0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5">
        <f>('Dashboard-Jan'!D7)*(SUM(B7:U7))</f>
        <v>0</v>
      </c>
      <c r="W7" s="45">
        <v>0.0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5">
        <f>('Dashboard-Jan'!D8)*(SUM(B8:U8))</f>
        <v>0</v>
      </c>
      <c r="W8" s="46">
        <v>0.0</v>
      </c>
    </row>
    <row r="9" ht="25.5" customHeight="1">
      <c r="A9" s="47" t="s">
        <v>3</v>
      </c>
      <c r="B9" s="48">
        <f t="shared" ref="B9:V9" si="1">SUM(B2:B8)</f>
        <v>0</v>
      </c>
      <c r="C9" s="48">
        <f t="shared" si="1"/>
        <v>0</v>
      </c>
      <c r="D9" s="48">
        <f t="shared" si="1"/>
        <v>0</v>
      </c>
      <c r="E9" s="48">
        <f t="shared" si="1"/>
        <v>0</v>
      </c>
      <c r="F9" s="48">
        <f t="shared" si="1"/>
        <v>0</v>
      </c>
      <c r="G9" s="48">
        <f t="shared" si="1"/>
        <v>0</v>
      </c>
      <c r="H9" s="48">
        <f t="shared" si="1"/>
        <v>0</v>
      </c>
      <c r="I9" s="48">
        <f t="shared" si="1"/>
        <v>0</v>
      </c>
      <c r="J9" s="48">
        <f t="shared" si="1"/>
        <v>0</v>
      </c>
      <c r="K9" s="48">
        <f t="shared" si="1"/>
        <v>0</v>
      </c>
      <c r="L9" s="48">
        <f t="shared" si="1"/>
        <v>0</v>
      </c>
      <c r="M9" s="48">
        <f t="shared" si="1"/>
        <v>0</v>
      </c>
      <c r="N9" s="48">
        <f t="shared" si="1"/>
        <v>0</v>
      </c>
      <c r="O9" s="48">
        <f t="shared" si="1"/>
        <v>0</v>
      </c>
      <c r="P9" s="48">
        <f t="shared" si="1"/>
        <v>0</v>
      </c>
      <c r="Q9" s="48">
        <f t="shared" si="1"/>
        <v>0</v>
      </c>
      <c r="R9" s="48">
        <f t="shared" si="1"/>
        <v>0</v>
      </c>
      <c r="S9" s="48">
        <f t="shared" si="1"/>
        <v>0</v>
      </c>
      <c r="T9" s="48">
        <f t="shared" si="1"/>
        <v>0</v>
      </c>
      <c r="U9" s="48">
        <f t="shared" si="1"/>
        <v>0</v>
      </c>
      <c r="V9" s="49">
        <f t="shared" si="1"/>
        <v>0</v>
      </c>
      <c r="W9" s="49"/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1">
        <f t="shared" ref="B14:V14" si="2">SUM(B11:B13)</f>
        <v>0</v>
      </c>
      <c r="C14" s="51">
        <f t="shared" si="2"/>
        <v>0</v>
      </c>
      <c r="D14" s="51">
        <f t="shared" si="2"/>
        <v>0</v>
      </c>
      <c r="E14" s="51">
        <f t="shared" si="2"/>
        <v>0</v>
      </c>
      <c r="F14" s="51">
        <f t="shared" si="2"/>
        <v>0</v>
      </c>
      <c r="G14" s="51">
        <f t="shared" si="2"/>
        <v>0</v>
      </c>
      <c r="H14" s="51">
        <f t="shared" si="2"/>
        <v>0</v>
      </c>
      <c r="I14" s="51">
        <f t="shared" si="2"/>
        <v>0</v>
      </c>
      <c r="J14" s="51">
        <f t="shared" si="2"/>
        <v>0</v>
      </c>
      <c r="K14" s="51">
        <f t="shared" si="2"/>
        <v>0</v>
      </c>
      <c r="L14" s="51">
        <f t="shared" si="2"/>
        <v>0</v>
      </c>
      <c r="M14" s="51">
        <f t="shared" si="2"/>
        <v>0</v>
      </c>
      <c r="N14" s="51">
        <f t="shared" si="2"/>
        <v>0</v>
      </c>
      <c r="O14" s="51">
        <f t="shared" si="2"/>
        <v>0</v>
      </c>
      <c r="P14" s="51">
        <f t="shared" si="2"/>
        <v>0</v>
      </c>
      <c r="Q14" s="51">
        <f t="shared" si="2"/>
        <v>0</v>
      </c>
      <c r="R14" s="51">
        <f t="shared" si="2"/>
        <v>0</v>
      </c>
      <c r="S14" s="51">
        <f t="shared" si="2"/>
        <v>0</v>
      </c>
      <c r="T14" s="51">
        <f t="shared" si="2"/>
        <v>0</v>
      </c>
      <c r="U14" s="51">
        <f t="shared" si="2"/>
        <v>0</v>
      </c>
      <c r="V14" s="52">
        <f t="shared" si="2"/>
        <v>0</v>
      </c>
      <c r="W14" s="46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>
        <v>2.0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2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5">
        <f>(('Dashboard-Jan'!D2)*(SUM(B2:U2)))*((W2*'Dashboard-Jan'!$D$10)+1)</f>
        <v>0</v>
      </c>
      <c r="W2" s="53">
        <f>IF('1'!V2 &lt;&gt; 0,('1'!W2)+1,0)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5">
        <f>(('Dashboard-Jan'!D3)*(SUM(B3:U3)))*((W3*'Dashboard-Jan'!$D$10)+1)</f>
        <v>0</v>
      </c>
      <c r="W3" s="53">
        <f>IF('1'!V3 &lt;&gt; 0,('1'!W3)+1,0)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5">
        <f>(('Dashboard-Jan'!D4)*(SUM(B4:U4)))*((W4*'Dashboard-Jan'!$D$10)+1)</f>
        <v>0</v>
      </c>
      <c r="W4" s="53">
        <f>IF('1'!V4 &lt;&gt; 0,('1'!W4)+1,0)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5">
        <f>(('Dashboard-Jan'!D5)*(SUM(B5:U5)))*((W5*'Dashboard-Jan'!$D$10)+1)</f>
        <v>0</v>
      </c>
      <c r="W5" s="53">
        <f>IF('1'!V5 &lt;&gt; 0,('1'!W5)+1,0)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5">
        <f>(('Dashboard-Jan'!D6)*(SUM(B6:U6)))*((W6*'Dashboard-Jan'!$D$10)+1)</f>
        <v>0</v>
      </c>
      <c r="W6" s="53">
        <f>IF('1'!V6 &lt;&gt; 0,('1'!W6)+1,0)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5">
        <f>(('Dashboard-Jan'!D7)*(SUM(B7:U7)))*((W7*'Dashboard-Jan'!$D$10)+1)</f>
        <v>0</v>
      </c>
      <c r="W7" s="53">
        <f>IF('1'!V7 &lt;&gt; 0,('1'!W7)+1,0)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5">
        <f>(('Dashboard-Jan'!D8)*(SUM(B8:U8)))*((W8*'Dashboard-Jan'!$D$10)+1)</f>
        <v>0</v>
      </c>
      <c r="W8" s="53">
        <f>IF('1'!V8 &lt;&gt; 0,('1'!W8)+1,0)</f>
        <v>0</v>
      </c>
    </row>
    <row r="9" ht="25.5" customHeight="1">
      <c r="A9" s="47" t="s">
        <v>3</v>
      </c>
      <c r="B9" s="54">
        <f t="shared" ref="B9:V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49"/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IF('2'!V2 &lt;&gt; 0,('2'!W2)+1,0)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IF('2'!V3 &lt;&gt; 0,('2'!W3)+1,0)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IF('2'!V4 &lt;&gt; 0,('2'!W4)+1,0)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IF('2'!V5 &lt;&gt; 0,('2'!W5)+1,0)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IF('2'!V6 &lt;&gt; 0,('2'!W6)+1,0)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IF('2'!V7 &lt;&gt; 0,('2'!W7)+1,0)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IF('2'!V8 &lt;&gt; 0,('2'!W8)+1,0)</f>
        <v>0</v>
      </c>
    </row>
    <row r="9" ht="25.5" customHeight="1">
      <c r="A9" s="47" t="s">
        <v>3</v>
      </c>
      <c r="B9" s="54">
        <f t="shared" ref="B9:V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0"/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IF('3'!V2 &lt;&gt; 0,('3'!W2)+1,0)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IF('3'!V3 &lt;&gt; 0,('3'!W3)+1,0)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IF('3'!V4 &lt;&gt; 0,('3'!W4)+1,0)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IF('3'!V5 &lt;&gt; 0,('3'!W5)+1,0)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IF('3'!V6 &lt;&gt; 0,('3'!W6)+1,0)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IF('3'!V7 &lt;&gt; 0,('3'!W7)+1,0)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IF('3'!V8 &lt;&gt; 0,('3'!W8)+1,0)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IF('4'!V2 &lt;&gt; 0,('4'!W2)+1,0)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IF('4'!V3 &lt;&gt; 0,('4'!W3)+1,0)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IF('4'!V4 &lt;&gt; 0,('4'!W4)+1,0)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IF('4'!V5 &lt;&gt; 0,('4'!W5)+1,0)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IF('4'!V6 &lt;&gt; 0,('4'!W6)+1,0)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IF('4'!V7 &lt;&gt; 0,('4'!W7)+1,0)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IF('4'!V8 &lt;&gt; 0,('4'!W8)+1,0)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IF('5'!V2 &lt;&gt; 0,('5'!W2)+1,0)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IF('5'!V3 &lt;&gt; 0,('5'!W3)+1,0)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IF('5'!V4 &lt;&gt; 0,('5'!W4)+1,0)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IF('5'!V5 &lt;&gt; 0,('5'!W5)+1,0)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IF('5'!V6 &lt;&gt; 0,('5'!W6)+1,0)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IF('5'!V7 &lt;&gt; 0,('5'!W7)+1,0)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IF('5'!V8 &lt;&gt; 0,('5'!W8)+1,0)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IF('6'!V2 &lt;&gt; 0,('6'!W2)+1,0)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IF('6'!V3 &lt;&gt; 0,('6'!W3)+1,0)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IF('6'!V4 &lt;&gt; 0,('6'!W4)+1,0)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IF('6'!V5 &lt;&gt; 0,('6'!W5)+1,0)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IF('6'!V6 &lt;&gt; 0,('6'!W6)+1,0)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IF('6'!V7 &lt;&gt; 0,('6'!W7)+1,0)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IF('6'!V8 &lt;&gt; 0,('6'!W8)+1,0)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>
        <v>8.0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IF('7'!V2 &lt;&gt; 0,('7'!W2)+1,0)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IF('7'!V3 &lt;&gt; 0,('7'!W3)+1,0)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IF('7'!V4 &lt;&gt; 0,('7'!W4)+1,0)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IF('7'!V5 &lt;&gt; 0,('7'!W5)+1,0)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IF('7'!V6 &lt;&gt; 0,('7'!W6)+1,0)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IF('7'!V7 &lt;&gt; 0,('7'!W7)+1,0)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IF('7'!V8 &lt;&gt; 0,('7'!W8)+1,0)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IF('8'!V2 &lt;&gt; 0,('8'!W2)+1,0)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IF('8'!V3 &lt;&gt; 0,('8'!W3)+1,0)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IF('8'!V4 &lt;&gt; 0,('8'!W4)+1,0)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IF('8'!V5 &lt;&gt; 0,('8'!W5)+1,0)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IF('8'!V6 &lt;&gt; 0,('8'!W6)+1,0)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IF('8'!V7 &lt;&gt; 0,('8'!W7)+1,0)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IF('8'!V8 &lt;&gt; 0,('8'!W8)+1,0)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IF('9'!V2 &lt;&gt; 0,('9'!W2)+1,0)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IF('9'!V3 &lt;&gt; 0,('9'!W3)+1,0)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IF('9'!V4 &lt;&gt; 0,('9'!W4)+1,0)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IF('9'!V5 &lt;&gt; 0,('9'!W5)+1,0)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IF('9'!V6 &lt;&gt; 0,('9'!W6)+1,0)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IF('9'!V7 &lt;&gt; 0,('9'!W7)+1,0)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IF('9'!V8 &lt;&gt; 0,('9'!W8)+1,0)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IF('10'!V2 &lt;&gt; 0,('10'!W2)+1,0)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IF('10'!V3 &lt;&gt; 0,('10'!W3)+1,0)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IF('10'!V4 &lt;&gt; 0,('10'!W4)+1,0)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IF('10'!V5 &lt;&gt; 0,('10'!W5)+1,0)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IF('10'!V6 &lt;&gt; 0,('10'!W6)+1,0)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IF('10'!V7 &lt;&gt; 0,('10'!W7)+1,0)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IF('10'!V8 &lt;&gt; 0,('10'!W8)+1,0)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IF('11'!V2 &lt;&gt; 0,('11'!W2)+1,0)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IF('11'!V3 &lt;&gt; 0,('11'!W3)+1,0)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IF('11'!V4 &lt;&gt; 0,('11'!W4)+1,0)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IF('11'!V5 &lt;&gt; 0,('11'!W5)+1,0)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IF('11'!V6 &lt;&gt; 0,('11'!W6)+1,0)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IF('11'!V7 &lt;&gt; 0,('11'!W7)+1,0)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IF('11'!V8 &lt;&gt; 0,('11'!W8)+1,0)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>
        <v>13.0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IF('12'!V2 &lt;&gt; 0,('12'!W2)+1,0)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IF('12'!V3 &lt;&gt; 0,('12'!W3)+1,0)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IF('12'!V4 &lt;&gt; 0,('12'!W4)+1,0)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IF('12'!V5 &lt;&gt; 0,('12'!W5)+1,0)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IF('12'!V6 &lt;&gt; 0,('12'!W6)+1,0)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IF('12'!V7 &lt;&gt; 0,('12'!W7)+1,0)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IF('12'!V8 &lt;&gt; 0,('12'!W8)+1,0)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IF('13'!V2 &lt;&gt; 0,('13'!W2)+1,0)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IF('13'!V3 &lt;&gt; 0,('13'!W3)+1,0)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IF('13'!V4 &lt;&gt; 0,('13'!W4)+1,0)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IF('13'!V5 &lt;&gt; 0,('13'!W5)+1,0)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IF('13'!V6 &lt;&gt; 0,('13'!W6)+1,0)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IF('13'!V7 &lt;&gt; 0,('13'!W7)+1,0)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IF('13'!V8 &lt;&gt; 0,('13'!W8)+1,0)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IF('14'!V2 &lt;&gt; 0,('14'!W2)+1,0)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IF('14'!V3 &lt;&gt; 0,('14'!W3)+1,0)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IF('14'!V4 &lt;&gt; 0,('14'!W4)+1,0)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IF('14'!V5 &lt;&gt; 0,('14'!W5)+1,0)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IF('14'!V6 &lt;&gt; 0,('14'!W6)+1,0)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IF('14'!V7 &lt;&gt; 0,('14'!W7)+1,0)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IF('14'!V8 &lt;&gt; 0,('14'!W8)+1,0)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IF('15'!V2 &lt;&gt; 0,('15'!W2)+1,0)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IF('15'!V3 &lt;&gt; 0,('15'!W3)+1,0)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IF('15'!V4 &lt;&gt; 0,('15'!W4)+1,0)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IF('15'!V5 &lt;&gt; 0,('15'!W5)+1,0)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IF('15'!V6 &lt;&gt; 0,('15'!W6)+1,0)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IF('15'!V7 &lt;&gt; 0,('15'!W7)+1,0)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IF('15'!V8 &lt;&gt; 0,('15'!W8)+1,0)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IF('16'!V2 &lt;&gt; 0,('16'!W2)+1,0)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IF('16'!V3 &lt;&gt; 0,('16'!W3)+1,0)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IF('16'!V4 &lt;&gt; 0,('16'!W4)+1,0)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IF('16'!V5 &lt;&gt; 0,('16'!W5)+1,0)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IF('16'!V6 &lt;&gt; 0,('16'!W6)+1,0)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IF('16'!V7 &lt;&gt; 0,('16'!W7)+1,0)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IF('16'!V8 &lt;&gt; 0,('16'!W8)+1,0)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IF('17'!V2 &lt;&gt; 0,('17'!W2)+1,0)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IF('17'!V3 &lt;&gt; 0,('17'!W3)+1,0)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IF('17'!V4 &lt;&gt; 0,('17'!W4)+1,0)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IF('17'!V5 &lt;&gt; 0,('17'!W5)+1,0)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IF('17'!V6 &lt;&gt; 0,('17'!W6)+1,0)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IF('17'!V7 &lt;&gt; 0,('17'!W7)+1,0)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IF('17'!V8 &lt;&gt; 0,('17'!W8)+1,0)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IF('18'!V2 &lt;&gt; 0,('18'!W2)+1,0)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IF('18'!V3 &lt;&gt; 0,('18'!W3)+1,0)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IF('18'!V4 &lt;&gt; 0,('18'!W4)+1,0)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IF('18'!V5 &lt;&gt; 0,('18'!W5)+1,0)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IF('18'!V6 &lt;&gt; 0,('18'!W6)+1,0)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IF('18'!V7 &lt;&gt; 0,('18'!W7)+1,0)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IF('18'!V8 &lt;&gt; 0,('18'!W8)+1,0)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IF('19'!V2 &lt;&gt; 0,('19'!W2)+1,0)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IF('19'!V3 &lt;&gt; 0,('19'!W3)+1,0)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IF('19'!V4 &lt;&gt; 0,('19'!W4)+1,0)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IF('19'!V5 &lt;&gt; 0,('19'!W5)+1,0)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IF('19'!V6 &lt;&gt; 0,('19'!W6)+1,0)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IF('19'!V7 &lt;&gt; 0,('19'!W7)+1,0)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IF('19'!V8 &lt;&gt; 0,('19'!W8)+1,0)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IF('20'!V2 &lt;&gt; 0,('20'!W2)+1,0)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IF('20'!V3 &lt;&gt; 0,('20'!W3)+1,0)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IF('20'!V4 &lt;&gt; 0,('20'!W4)+1,0)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IF('20'!V5 &lt;&gt; 0,('20'!W5)+1,0)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IF('20'!V6 &lt;&gt; 0,('20'!W6)+1,0)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IF('20'!V7 &lt;&gt; 0,('20'!W7)+1,0)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IF('20'!V8 &lt;&gt; 0,('20'!W8)+1,0)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IF('21'!V2 &lt;&gt; 0,('21'!W2)+1,0)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IF('21'!V3 &lt;&gt; 0,('21'!W3)+1,0)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IF('21'!V4 &lt;&gt; 0,('21'!W4)+1,0)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IF('21'!V5 &lt;&gt; 0,('21'!W5)+1,0)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IF('21'!V6 &lt;&gt; 0,('21'!W6)+1,0)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IF('21'!V7 &lt;&gt; 0,('21'!W7)+1,0)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IF('21'!V8 &lt;&gt; 0,('21'!W8)+1,0)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IF('22'!V2 &lt;&gt; 0,('22'!W2)+1,0)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IF('22'!V3 &lt;&gt; 0,('22'!W3)+1,0)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IF('22'!V4 &lt;&gt; 0,('22'!W4)+1,0)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IF('22'!V5 &lt;&gt; 0,('22'!W5)+1,0)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IF('22'!V6 &lt;&gt; 0,('22'!W6)+1,0)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IF('22'!V7 &lt;&gt; 0,('22'!W7)+1,0)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IF('22'!V8 &lt;&gt; 0,('22'!W8)+1,0)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IF('23'!V2 &lt;&gt; 0,('23'!W2)+1,0)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IF('23'!V3 &lt;&gt; 0,('23'!W3)+1,0)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IF('23'!V4 &lt;&gt; 0,('23'!W4)+1,0)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IF('23'!V5 &lt;&gt; 0,('23'!W5)+1,0)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IF('23'!V6 &lt;&gt; 0,('23'!W6)+1,0)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IF('23'!V7 &lt;&gt; 0,('23'!W7)+1,0)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IF('23'!V8 &lt;&gt; 0,('23'!W8)+1,0)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IF('24'!V2 &lt;&gt; 0,('24'!W2)+1,0)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IF('24'!V3 &lt;&gt; 0,('24'!W3)+1,0)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IF('24'!V4 &lt;&gt; 0,('24'!W4)+1,0)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IF('24'!V5 &lt;&gt; 0,('24'!W5)+1,0)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IF('24'!V6 &lt;&gt; 0,('24'!W6)+1,0)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IF('24'!V7 &lt;&gt; 0,('24'!W7)+1,0)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IF('24'!V8 &lt;&gt; 0,('24'!W8)+1,0)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IF('25'!V2 &lt;&gt; 0,('25'!W2)+1,0)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IF('25'!V3 &lt;&gt; 0,('25'!W3)+1,0)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IF('25'!V4 &lt;&gt; 0,('25'!W4)+1,0)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IF('25'!V5 &lt;&gt; 0,('25'!W5)+1,0)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IF('25'!V6 &lt;&gt; 0,('25'!W6)+1,0)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IF('25'!V7 &lt;&gt; 0,('25'!W7)+1,0)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IF('25'!V8 &lt;&gt; 0,('25'!W8)+1,0)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IF('26'!V2 &lt;&gt; 0,('26'!W2)+1,0)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IF('26'!V3 &lt;&gt; 0,('26'!W3)+1,0)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IF('26'!V4 &lt;&gt; 0,('26'!W4)+1,0)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IF('26'!V5 &lt;&gt; 0,('26'!W5)+1,0)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IF('26'!V6 &lt;&gt; 0,('26'!W6)+1,0)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IF('26'!V7 &lt;&gt; 0,('26'!W7)+1,0)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IF('26'!V8 &lt;&gt; 0,('26'!W8)+1,0)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IF('27'!V2 &lt;&gt; 0,('27'!W2)+1,0)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IF('27'!V3 &lt;&gt; 0,('27'!W3)+1,0)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IF('27'!V4 &lt;&gt; 0,('27'!W4)+1,0)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IF('27'!V5 &lt;&gt; 0,('27'!W5)+1,0)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IF('27'!V6 &lt;&gt; 0,('27'!W6)+1,0)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IF('27'!V7 &lt;&gt; 0,('27'!W7)+1,0)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IF('27'!V8 &lt;&gt; 0,('27'!W8)+1,0)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IF('28'!V2 &lt;&gt; 0,('28'!W2)+1,0)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IF('28'!V3 &lt;&gt; 0,('28'!W3)+1,0)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IF('28'!V4 &lt;&gt; 0,('28'!W4)+1,0)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IF('28'!V5 &lt;&gt; 0,('28'!W5)+1,0)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IF('28'!V6 &lt;&gt; 0,('28'!W6)+1,0)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IF('28'!V7 &lt;&gt; 0,('28'!W7)+1,0)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IF('28'!V8 &lt;&gt; 0,('28'!W8)+1,0)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IF('29'!V2 &lt;&gt; 0,('29'!W2)+1,0)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IF('29'!V3 &lt;&gt; 0,('29'!W3)+1,0)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IF('29'!V4 &lt;&gt; 0,('29'!W4)+1,0)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IF('29'!V5 &lt;&gt; 0,('29'!W5)+1,0)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IF('29'!V6 &lt;&gt; 0,('29'!W6)+1,0)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IF('29'!V7 &lt;&gt; 0,('29'!W7)+1,0)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IF('29'!V8 &lt;&gt; 0,('29'!W8)+1,0)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hidden="1" min="12" max="21" width="12.63"/>
  </cols>
  <sheetData>
    <row r="1" ht="26.25" customHeight="1">
      <c r="A1" s="2" t="s">
        <v>26</v>
      </c>
      <c r="B1" s="41">
        <v>1.0</v>
      </c>
      <c r="C1" s="42">
        <v>2.0</v>
      </c>
      <c r="D1" s="42">
        <v>3.0</v>
      </c>
      <c r="E1" s="42">
        <v>4.0</v>
      </c>
      <c r="F1" s="42">
        <v>5.0</v>
      </c>
      <c r="G1" s="42">
        <v>6.0</v>
      </c>
      <c r="H1" s="42">
        <v>7.0</v>
      </c>
      <c r="I1" s="42">
        <v>8.0</v>
      </c>
      <c r="J1" s="42">
        <v>9.0</v>
      </c>
      <c r="K1" s="42">
        <v>10.0</v>
      </c>
      <c r="L1" s="42">
        <v>11.0</v>
      </c>
      <c r="M1" s="42">
        <v>12.0</v>
      </c>
      <c r="N1" s="42">
        <v>13.0</v>
      </c>
      <c r="O1" s="42">
        <v>14.0</v>
      </c>
      <c r="P1" s="42">
        <v>15.0</v>
      </c>
      <c r="Q1" s="42">
        <v>16.0</v>
      </c>
      <c r="R1" s="42">
        <v>17.0</v>
      </c>
      <c r="S1" s="42">
        <v>18.0</v>
      </c>
      <c r="T1" s="42">
        <v>19.0</v>
      </c>
      <c r="U1" s="42">
        <v>20.0</v>
      </c>
      <c r="V1" s="43" t="s">
        <v>27</v>
      </c>
      <c r="W1" s="56" t="s">
        <v>28</v>
      </c>
    </row>
    <row r="2" ht="25.5" customHeight="1">
      <c r="A2" s="7" t="str">
        <f>'Dashboard-Jan'!$C2</f>
        <v>Task-1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57">
        <f>(('Dashboard-Jan'!D2)*(SUM(B2:U2)))*((W2*'Dashboard-Jan'!$D$10)+1)</f>
        <v>0</v>
      </c>
      <c r="W2" s="58">
        <f>IF('30'!V2 &lt;&gt; 0,('30'!W2)+1,0)</f>
        <v>0</v>
      </c>
    </row>
    <row r="3" ht="25.5" customHeight="1">
      <c r="A3" s="7" t="str">
        <f>'Dashboard-Jan'!$C3</f>
        <v>Task-2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7">
        <f>(('Dashboard-Jan'!D3)*(SUM(B3:U3)))*((W3*'Dashboard-Jan'!$D$10)+1)</f>
        <v>0</v>
      </c>
      <c r="W3" s="58">
        <f>IF('30'!V3 &lt;&gt; 0,('30'!W3)+1,0)</f>
        <v>0</v>
      </c>
    </row>
    <row r="4" ht="25.5" customHeight="1">
      <c r="A4" s="7" t="str">
        <f>'Dashboard-Jan'!$C4</f>
        <v>Task-3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7">
        <f>(('Dashboard-Jan'!D4)*(SUM(B4:U4)))*((W4*'Dashboard-Jan'!$D$10)+1)</f>
        <v>0</v>
      </c>
      <c r="W4" s="58">
        <f>IF('30'!V4 &lt;&gt; 0,('30'!W4)+1,0)</f>
        <v>0</v>
      </c>
    </row>
    <row r="5" ht="25.5" customHeight="1">
      <c r="A5" s="7" t="str">
        <f>'Dashboard-Jan'!$C5</f>
        <v>Task-4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57">
        <f>(('Dashboard-Jan'!D5)*(SUM(B5:U5)))*((W5*'Dashboard-Jan'!$D$10)+1)</f>
        <v>0</v>
      </c>
      <c r="W5" s="58">
        <f>IF('30'!V5 &lt;&gt; 0,('30'!W5)+1,0)</f>
        <v>0</v>
      </c>
    </row>
    <row r="6" ht="25.5" customHeight="1">
      <c r="A6" s="7" t="str">
        <f>'Dashboard-Jan'!$C6</f>
        <v>Task-5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57">
        <f>(('Dashboard-Jan'!D6)*(SUM(B6:U6)))*((W6*'Dashboard-Jan'!$D$10)+1)</f>
        <v>0</v>
      </c>
      <c r="W6" s="58">
        <f>IF('30'!V6 &lt;&gt; 0,('30'!W6)+1,0)</f>
        <v>0</v>
      </c>
    </row>
    <row r="7" ht="25.5" customHeight="1">
      <c r="A7" s="7" t="str">
        <f>'Dashboard-Jan'!$C7</f>
        <v>Task-6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57">
        <f>(('Dashboard-Jan'!D7)*(SUM(B7:U7)))*((W7*'Dashboard-Jan'!$D$10)+1)</f>
        <v>0</v>
      </c>
      <c r="W7" s="58">
        <f>IF('30'!V7 &lt;&gt; 0,('30'!W7)+1,0)</f>
        <v>0</v>
      </c>
    </row>
    <row r="8" ht="25.5" customHeight="1">
      <c r="A8" s="7" t="str">
        <f>'Dashboard-Jan'!$C8</f>
        <v>Task-7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57">
        <f>(('Dashboard-Jan'!D8)*(SUM(B8:U8)))*((W8*'Dashboard-Jan'!$D$10)+1)</f>
        <v>0</v>
      </c>
      <c r="W8" s="59">
        <f>IF('30'!V8 &lt;&gt; 0,('30'!W8)+1,0)</f>
        <v>0</v>
      </c>
    </row>
    <row r="9" ht="25.5" customHeight="1">
      <c r="A9" s="47" t="s">
        <v>3</v>
      </c>
      <c r="B9" s="54">
        <f t="shared" ref="B9:W9" si="1">SUM(B2:B8)</f>
        <v>0</v>
      </c>
      <c r="C9" s="54">
        <f t="shared" si="1"/>
        <v>0</v>
      </c>
      <c r="D9" s="54">
        <f t="shared" si="1"/>
        <v>0</v>
      </c>
      <c r="E9" s="54">
        <f t="shared" si="1"/>
        <v>0</v>
      </c>
      <c r="F9" s="54">
        <f t="shared" si="1"/>
        <v>0</v>
      </c>
      <c r="G9" s="54">
        <f t="shared" si="1"/>
        <v>0</v>
      </c>
      <c r="H9" s="54">
        <f t="shared" si="1"/>
        <v>0</v>
      </c>
      <c r="I9" s="54">
        <f t="shared" si="1"/>
        <v>0</v>
      </c>
      <c r="J9" s="54">
        <f t="shared" si="1"/>
        <v>0</v>
      </c>
      <c r="K9" s="54">
        <f t="shared" si="1"/>
        <v>0</v>
      </c>
      <c r="L9" s="54">
        <f t="shared" si="1"/>
        <v>0</v>
      </c>
      <c r="M9" s="54">
        <f t="shared" si="1"/>
        <v>0</v>
      </c>
      <c r="N9" s="54">
        <f t="shared" si="1"/>
        <v>0</v>
      </c>
      <c r="O9" s="54">
        <f t="shared" si="1"/>
        <v>0</v>
      </c>
      <c r="P9" s="54">
        <f t="shared" si="1"/>
        <v>0</v>
      </c>
      <c r="Q9" s="54">
        <f t="shared" si="1"/>
        <v>0</v>
      </c>
      <c r="R9" s="54">
        <f t="shared" si="1"/>
        <v>0</v>
      </c>
      <c r="S9" s="54">
        <f t="shared" si="1"/>
        <v>0</v>
      </c>
      <c r="T9" s="54">
        <f t="shared" si="1"/>
        <v>0</v>
      </c>
      <c r="U9" s="54">
        <f t="shared" si="1"/>
        <v>0</v>
      </c>
      <c r="V9" s="49">
        <f t="shared" si="1"/>
        <v>0</v>
      </c>
      <c r="W9" s="61">
        <f t="shared" si="1"/>
        <v>0</v>
      </c>
    </row>
    <row r="10" ht="25.5" customHeight="1">
      <c r="A10" s="2" t="s">
        <v>29</v>
      </c>
      <c r="B10" s="41">
        <v>1.0</v>
      </c>
      <c r="C10" s="42">
        <v>2.0</v>
      </c>
      <c r="D10" s="42">
        <v>3.0</v>
      </c>
      <c r="E10" s="42">
        <v>4.0</v>
      </c>
      <c r="F10" s="42">
        <v>5.0</v>
      </c>
      <c r="G10" s="42">
        <v>6.0</v>
      </c>
      <c r="H10" s="42">
        <v>7.0</v>
      </c>
      <c r="I10" s="42">
        <v>8.0</v>
      </c>
      <c r="J10" s="42">
        <v>9.0</v>
      </c>
      <c r="K10" s="42">
        <v>10.0</v>
      </c>
      <c r="L10" s="42">
        <v>11.0</v>
      </c>
      <c r="M10" s="42">
        <v>12.0</v>
      </c>
      <c r="N10" s="42">
        <v>13.0</v>
      </c>
      <c r="O10" s="42">
        <v>14.0</v>
      </c>
      <c r="P10" s="42">
        <v>15.0</v>
      </c>
      <c r="Q10" s="42">
        <v>16.0</v>
      </c>
      <c r="R10" s="42">
        <v>17.0</v>
      </c>
      <c r="S10" s="42">
        <v>18.0</v>
      </c>
      <c r="T10" s="42">
        <v>19.0</v>
      </c>
      <c r="U10" s="42">
        <v>20.0</v>
      </c>
      <c r="V10" s="2" t="s">
        <v>27</v>
      </c>
      <c r="W10" s="2"/>
    </row>
    <row r="11" ht="25.5" customHeight="1">
      <c r="A11" s="7" t="str">
        <f>'Dashboard-Jan'!$C14</f>
        <v>Reward-1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>
        <f>('Dashboard-Jan'!D14)*(SUM(B11:U11))</f>
        <v>0</v>
      </c>
      <c r="W11" s="50"/>
    </row>
    <row r="12" ht="25.5" customHeight="1">
      <c r="A12" s="7" t="str">
        <f>'Dashboard-Jan'!$C15</f>
        <v>Reward-2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5">
        <f>('Dashboard-Jan'!D15)*(SUM(B12:U12))</f>
        <v>0</v>
      </c>
      <c r="W12" s="45"/>
    </row>
    <row r="13" ht="25.5" customHeight="1">
      <c r="A13" s="7" t="str">
        <f>'Dashboard-Jan'!$C16</f>
        <v>Reward-3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5">
        <f>('Dashboard-Jan'!D16)*(SUM(B13:U13))</f>
        <v>0</v>
      </c>
      <c r="W13" s="46"/>
    </row>
    <row r="14" ht="25.5" customHeight="1">
      <c r="A14" s="47" t="s">
        <v>3</v>
      </c>
      <c r="B14" s="55">
        <f t="shared" ref="B14:V14" si="2">SUM(B11:B13)</f>
        <v>0</v>
      </c>
      <c r="C14" s="55">
        <f t="shared" si="2"/>
        <v>0</v>
      </c>
      <c r="D14" s="55">
        <f t="shared" si="2"/>
        <v>0</v>
      </c>
      <c r="E14" s="55">
        <f t="shared" si="2"/>
        <v>0</v>
      </c>
      <c r="F14" s="55">
        <f t="shared" si="2"/>
        <v>0</v>
      </c>
      <c r="G14" s="55">
        <f t="shared" si="2"/>
        <v>0</v>
      </c>
      <c r="H14" s="55">
        <f t="shared" si="2"/>
        <v>0</v>
      </c>
      <c r="I14" s="55">
        <f t="shared" si="2"/>
        <v>0</v>
      </c>
      <c r="J14" s="55">
        <f t="shared" si="2"/>
        <v>0</v>
      </c>
      <c r="K14" s="55">
        <f t="shared" si="2"/>
        <v>0</v>
      </c>
      <c r="L14" s="55">
        <f t="shared" si="2"/>
        <v>0</v>
      </c>
      <c r="M14" s="55">
        <f t="shared" si="2"/>
        <v>0</v>
      </c>
      <c r="N14" s="55">
        <f t="shared" si="2"/>
        <v>0</v>
      </c>
      <c r="O14" s="55">
        <f t="shared" si="2"/>
        <v>0</v>
      </c>
      <c r="P14" s="55">
        <f t="shared" si="2"/>
        <v>0</v>
      </c>
      <c r="Q14" s="55">
        <f t="shared" si="2"/>
        <v>0</v>
      </c>
      <c r="R14" s="55">
        <f t="shared" si="2"/>
        <v>0</v>
      </c>
      <c r="S14" s="55">
        <f t="shared" si="2"/>
        <v>0</v>
      </c>
      <c r="T14" s="55">
        <f t="shared" si="2"/>
        <v>0</v>
      </c>
      <c r="U14" s="55">
        <f t="shared" si="2"/>
        <v>0</v>
      </c>
      <c r="V14" s="52">
        <f t="shared" si="2"/>
        <v>0</v>
      </c>
      <c r="W14" s="52"/>
    </row>
  </sheetData>
  <conditionalFormatting sqref="B2:U8">
    <cfRule type="notContainsBlanks" dxfId="3" priority="1">
      <formula>LEN(TRIM(B2))&gt;0</formula>
    </cfRule>
  </conditionalFormatting>
  <drawing r:id="rId1"/>
</worksheet>
</file>